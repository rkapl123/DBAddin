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DieseArbeitsmappe"/>
  <bookViews>
    <workbookView xWindow="-120" yWindow="-120" windowWidth="20700" windowHeight="11310" activeTab="2"/>
  </bookViews>
  <sheets>
    <sheet name="Example1" sheetId="1" r:id="rId1"/>
    <sheet name="Example2" sheetId="2" r:id="rId2"/>
    <sheet name="Example3" sheetId="3" r:id="rId3"/>
    <sheet name="ExampleDBAction" sheetId="4" r:id="rId4"/>
    <sheet name="TestAutomation" sheetId="5" r:id="rId5"/>
  </sheets>
  <definedNames>
    <definedName name="DBActionTest">ExampleDBAction!$A$1:$A$2</definedName>
    <definedName name="DBFsource36ad7cc5b01247b7a90c31a3a9e9d80e" hidden="1">Example3!$N$5</definedName>
    <definedName name="DBFsource436717175553588" hidden="1">Example2!$A$1</definedName>
    <definedName name="DBFsource43741663536713" hidden="1">Example3!$A$1</definedName>
    <definedName name="DBFsource438884830419676" hidden="1">Example2!#REF!</definedName>
    <definedName name="DBFsource438885783299074" hidden="1">Example2!#REF!</definedName>
    <definedName name="DBFsource438898127587384" hidden="1">Example3!#REF!</definedName>
    <definedName name="DBFsource438906111584375" hidden="1">Example3!#REF!</definedName>
    <definedName name="DBFsource438916983858681" hidden="1">Example3!$L$16</definedName>
    <definedName name="DBFtarget36ad7cc5b01247b7a90c31a3a9e9d80e" hidden="1">Example3!$O$8:$W$32</definedName>
    <definedName name="DBFtarget436717175553588" hidden="1">Example2!$A$2:$H$50</definedName>
    <definedName name="DBFtarget43741663536713" hidden="1">Example3!$A$2:$I$49</definedName>
    <definedName name="DBFtarget438884830419676" hidden="1">Example2!#REF!</definedName>
    <definedName name="DBFtarget438885783299074" hidden="1">Example2!#REF!</definedName>
    <definedName name="DBFtarget438898127587384" hidden="1">Example3!#REF!</definedName>
    <definedName name="DBFtarget438906111584375" hidden="1">Example3!#REF!</definedName>
    <definedName name="DBFtarget438916983858681" hidden="1">Example3!$L$17:$M$30</definedName>
    <definedName name="DBFtargetF436717175553588" hidden="1">Example2!$I$3:$I$50</definedName>
    <definedName name="DBMapper">Example2!$A$2:$I$50</definedName>
    <definedName name="DBMapperDataRange">Example3!$A$2:$I$49</definedName>
    <definedName name="DBMapperemployee">Example1!$A$1:$H$48</definedName>
    <definedName name="DBSeqnce">ExampleDBAction!$A$3</definedName>
    <definedName name="employee">Example1!$A$1:$H$47</definedName>
    <definedName name="jobsLU">Example3!$L$17:$M$30</definedName>
    <definedName name="jobsLUDropDown">OFFSET(jobsLU,0,0,COUNT(jobsLU),1)</definedName>
    <definedName name="OEBFADBTVI00_ORE_TestTable" localSheetId="2" hidden="1">Example3!$A$2:$I$49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A1" i="3"/>
  <c r="N5" i="3"/>
  <c r="L16" i="3"/>
  <c r="A1" i="2"/>
  <c r="A2" i="4" l="1"/>
  <c r="F12" i="3" l="1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11" i="3"/>
  <c r="F10" i="3"/>
  <c r="F4" i="3"/>
  <c r="F5" i="3"/>
  <c r="F6" i="3"/>
  <c r="F7" i="3"/>
  <c r="F8" i="3"/>
  <c r="F9" i="3"/>
  <c r="F3" i="3"/>
  <c r="I3" i="2"/>
</calcChain>
</file>

<file path=xl/connections.xml><?xml version="1.0" encoding="utf-8"?>
<connections xmlns="http://schemas.openxmlformats.org/spreadsheetml/2006/main">
  <connection id="1" keepAlive="1" name="TestTable" type="5" refreshedVersion="4" background="1" saveData="1">
    <dbPr connection="Provider=MSDASQL.1;Persist Security Info=True;Extended Properties=&quot;DRIVER=SQL SERVER;SERVER=OEBFADBTVI00;UID=;Trusted_Connection=Yes;APP=Microsoft Office 2010;WSID=00232441EA71;DATABASE=pubs&quot;" command="select emp_id,fname,minit,lname,j.job_desc,job_lvl,pub_id,hire_date from pubs..employee e inner join pubs..jobs j on j.job_id = e.job_id"/>
  </connection>
</connections>
</file>

<file path=xl/sharedStrings.xml><?xml version="1.0" encoding="utf-8"?>
<sst xmlns="http://schemas.openxmlformats.org/spreadsheetml/2006/main" count="941" uniqueCount="351">
  <si>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</si>
  <si>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</si>
  <si>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</si>
  <si>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</si>
  <si>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</si>
  <si>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</si>
  <si>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</si>
  <si>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</si>
  <si>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</si>
  <si>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</si>
  <si>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</si>
  <si>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</si>
  <si>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</si>
  <si>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</si>
  <si>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</si>
  <si>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</si>
  <si>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</si>
  <si>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</si>
  <si>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</si>
  <si>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</si>
  <si>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</si>
  <si>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</si>
  <si>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</si>
  <si>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</si>
  <si>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</si>
  <si>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</si>
  <si>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</si>
  <si>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</si>
  <si>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</si>
  <si>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</si>
  <si>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</si>
  <si>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</si>
  <si>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</si>
  <si>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</si>
  <si>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</si>
  <si>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</si>
  <si>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</si>
  <si>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</si>
  <si>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</si>
  <si>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</si>
  <si>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</si>
  <si>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</si>
  <si>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</si>
  <si>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</si>
  <si>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</si>
  <si>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</si>
  <si>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</si>
  <si>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</si>
  <si>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</si>
  <si>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</si>
  <si>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</si>
  <si>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</si>
  <si>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</si>
  <si>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</si>
  <si>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</si>
  <si>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</si>
  <si>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</si>
  <si>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</si>
  <si>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</si>
  <si>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</si>
  <si>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</si>
  <si>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</si>
  <si>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</si>
  <si>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</si>
  <si>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</si>
  <si>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</si>
  <si>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</si>
  <si>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</si>
  <si>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</si>
  <si>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</si>
  <si>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</si>
  <si>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</si>
  <si>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</si>
  <si>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</si>
  <si>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</si>
  <si>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</si>
  <si>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</si>
  <si>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</si>
  <si>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</si>
  <si>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</si>
  <si>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</si>
  <si>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</si>
  <si>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</si>
  <si>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</si>
  <si>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</si>
  <si>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</si>
  <si>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</si>
  <si>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</si>
  <si>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</si>
  <si>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</si>
  <si>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</si>
  <si>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</si>
  <si>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</si>
  <si>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</si>
  <si>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</si>
  <si>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</si>
  <si>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</si>
  <si>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</si>
  <si>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</si>
  <si>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</si>
  <si>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</si>
  <si>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</si>
  <si>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</si>
  <si>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</si>
  <si>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</si>
  <si>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</si>
  <si>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</si>
  <si>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</si>
  <si>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</si>
  <si>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</si>
  <si>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</si>
  <si>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</si>
  <si>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</si>
  <si>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</si>
  <si>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</si>
  <si>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</si>
  <si>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</si>
  <si>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</si>
  <si>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</si>
  <si>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</si>
  <si>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</si>
  <si>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</si>
  <si>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</si>
  <si>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</si>
  <si>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</si>
  <si>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</si>
  <si>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</si>
  <si>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</si>
  <si>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</si>
  <si>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</si>
  <si>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</si>
  <si>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</si>
  <si>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</si>
  <si>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</si>
  <si>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</si>
  <si>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</si>
  <si>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</si>
  <si>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</si>
  <si>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</si>
  <si>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</si>
  <si>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</si>
  <si>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</si>
  <si>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</si>
  <si>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</si>
  <si>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</si>
  <si>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</si>
  <si>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</si>
  <si>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</si>
  <si>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</si>
  <si>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</si>
  <si>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</si>
  <si>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</si>
  <si>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</si>
  <si>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</si>
  <si>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</si>
  <si>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</si>
  <si>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</si>
  <si>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</si>
  <si>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</si>
  <si>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</si>
  <si>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</si>
  <si>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</si>
  <si>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</si>
  <si>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</si>
  <si>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</si>
  <si>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</si>
  <si>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</si>
  <si>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rtzrfh</t>
  </si>
  <si>
    <t>DZT39436F</t>
  </si>
  <si>
    <t>ttt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</si>
  <si>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</si>
  <si>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</si>
  <si>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</si>
  <si>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</si>
  <si>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</si>
  <si>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</si>
  <si>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</si>
  <si>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</si>
  <si>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</si>
  <si>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</si>
  <si>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</si>
  <si>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</si>
  <si>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</si>
  <si>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</si>
  <si>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</si>
  <si>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</si>
  <si>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</si>
  <si>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</si>
  <si>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</si>
  <si>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</si>
  <si>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</si>
  <si>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</si>
  <si>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</si>
  <si>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</si>
  <si>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</si>
  <si>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</si>
  <si>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</si>
  <si>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</si>
  <si>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r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</si>
  <si>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</si>
  <si>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</si>
  <si>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</si>
  <si>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</si>
  <si>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</si>
  <si>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</si>
  <si>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</si>
  <si>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</si>
  <si>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</si>
  <si>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</si>
  <si>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</si>
  <si>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White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</si>
  <si>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</si>
  <si>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</si>
  <si>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</si>
  <si>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</si>
  <si>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</si>
  <si>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</si>
  <si>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</si>
  <si>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</si>
  <si>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</si>
  <si>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</si>
  <si>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</si>
  <si>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</si>
  <si>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</si>
  <si>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</si>
  <si>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</si>
  <si>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</si>
  <si>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</si>
  <si>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</si>
  <si>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</si>
  <si>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</si>
  <si>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</si>
  <si>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</si>
  <si>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</si>
  <si>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</si>
  <si>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</si>
  <si>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</si>
  <si>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</si>
  <si>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</si>
  <si>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</si>
  <si>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</si>
  <si>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</si>
  <si>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</si>
  <si>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</si>
  <si>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</si>
  <si>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</si>
  <si>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</si>
  <si>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</si>
  <si>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</si>
  <si>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</si>
  <si>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</si>
  <si>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</si>
  <si>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</si>
  <si>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</si>
  <si>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</si>
  <si>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</si>
  <si>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</si>
  <si>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</si>
  <si>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</si>
  <si>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</si>
  <si>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</si>
  <si>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</si>
  <si>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</si>
  <si>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</si>
  <si>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</si>
  <si>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</si>
  <si>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</si>
  <si>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</si>
  <si>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</si>
  <si>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</si>
  <si>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</si>
  <si>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</si>
  <si>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</si>
  <si>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</si>
  <si>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</si>
  <si>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</si>
  <si>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</si>
  <si>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</si>
  <si>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</si>
  <si>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OR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</si>
  <si>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</si>
  <si>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</si>
  <si>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</si>
  <si>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</si>
  <si>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</si>
  <si>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</si>
  <si>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</si>
  <si>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</si>
  <si>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</si>
  <si>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</si>
  <si>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</si>
  <si>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</si>
  <si>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</si>
  <si>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</si>
  <si>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</si>
  <si>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</si>
  <si>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</si>
  <si>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</si>
  <si>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</si>
  <si>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</si>
  <si>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</si>
  <si>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</si>
  <si>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</si>
  <si>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</si>
  <si>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</si>
  <si>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</si>
  <si>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</si>
  <si>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</si>
  <si>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</si>
  <si>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</si>
  <si>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</si>
  <si>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</si>
  <si>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</si>
  <si>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</si>
  <si>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</si>
  <si>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</si>
  <si>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</si>
  <si>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</si>
  <si>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</si>
  <si>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</si>
  <si>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</si>
  <si>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</si>
  <si>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</si>
  <si>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</si>
  <si>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</si>
  <si>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</si>
  <si>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</si>
  <si>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</si>
  <si>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</si>
  <si>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</si>
  <si>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</si>
  <si>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</si>
  <si>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</si>
  <si>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</si>
  <si>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</si>
  <si>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Salt Lake City</t>
  </si>
  <si>
    <t>UT</t>
  </si>
  <si>
    <t>998-72-3567</t>
  </si>
  <si>
    <t>Albert</t>
  </si>
  <si>
    <t>DBMapperDataRange</t>
  </si>
  <si>
    <t>x</t>
  </si>
  <si>
    <t>Chief Executive Officersdfsdf</t>
  </si>
  <si>
    <t>f</t>
  </si>
  <si>
    <t>ERE39435M</t>
  </si>
  <si>
    <t>ertert</t>
  </si>
  <si>
    <t>erter</t>
  </si>
  <si>
    <t>h</t>
  </si>
  <si>
    <t>309 63rd St. 411</t>
  </si>
  <si>
    <t>update pubs..employee set</t>
  </si>
  <si>
    <t>g</t>
  </si>
  <si>
    <t>and CUDFlags (manually created "DBSheet")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</si>
</sst>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1" fillId="0" borderId="0" xfId="0" applyNumberFormat="1" applyFont="1"/>
    <xf numFmtId="0" fontId="0" fillId="0" borderId="0" xfId="0" quotePrefix="1"/>
    <xf numFmtId="0" fontId="0" fillId="0" borderId="0" xfId="0" applyNumberFormat="1" applyFont="1"/>
    <xf numFmtId="14" fontId="1" fillId="0" borderId="0" xfId="0" applyNumberFormat="1" applyFont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14" fontId="0" fillId="0" borderId="0" xfId="0" applyNumberFormat="1" applyFont="1" applyProtection="1">
      <protection locked="0"/>
    </xf>
    <xf numFmtId="0" fontId="0" fillId="0" borderId="0" xfId="0" applyNumberFormat="1" applyFont="1" applyProtection="1">
      <protection locked="0"/>
    </xf>
  </cellXfs>
  <cellStyles count="1">
    <cellStyle name="Standard" xfId="0" builtinId="0"/>
  </cellStyles>
  <dxfs count="11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EBFADBTVI00 ORE TestTable" connectionId="1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estTable" displayName="TestTable" ref="A2:I49" tableType="queryTable" totalsRowShown="0" headerRowDxfId="1" dataDxfId="0">
  <autoFilter ref="A2:I49"/>
  <tableColumns count="9">
    <tableColumn id="1" uniqueName="1" name="emp_id" queryTableFieldId="8" dataDxfId="10"/>
    <tableColumn id="2" uniqueName="2" name="fname" queryTableFieldId="9" dataDxfId="9"/>
    <tableColumn id="3" uniqueName="3" name="minit" queryTableFieldId="10" dataDxfId="8"/>
    <tableColumn id="4" uniqueName="4" name="lname" queryTableFieldId="11" dataDxfId="7"/>
    <tableColumn id="10" uniqueName="10" name="job_desc" queryTableFieldId="17" dataDxfId="6"/>
    <tableColumn id="9" uniqueName="9" name="job_id" queryTableFieldId="16" dataDxfId="5"/>
    <tableColumn id="6" uniqueName="6" name="job_lvl" queryTableFieldId="13" dataDxfId="4"/>
    <tableColumn id="7" uniqueName="7" name="pub_id" queryTableFieldId="14" dataDxfId="3"/>
    <tableColumn id="8" uniqueName="8" name="hire_date" queryTableFieldId="15" dataDxfId="2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S50"/>
  <sheetViews>
    <sheetView workbookViewId="0">
      <pane ySplit="1" topLeftCell="A2" activePane="bottomLeft" state="frozen"/>
      <selection pane="bottomLeft" activeCell="I6" sqref="I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192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L8" s="4" t="s">
        <v>173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L10" t="s">
        <v>193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3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168</v>
      </c>
      <c r="B48" t="s">
        <v>169</v>
      </c>
      <c r="D48" t="s">
        <v>167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K50"/>
  <sheetViews>
    <sheetView workbookViewId="0">
      <selection activeCell="K8" sqref="K8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9" t="str">
        <f>_xll.DBListFetch("select emp_id,fname,minit,lname,job_id,job_lvl,pub_id,hire_date from pubs..employee",3,A2,I3,,TRUE,,TRUE)</f>
        <v>Env:Development, (last result:)Retrieved 48 records from: select emp_id,fname,minit,lname,job_id,job_lvl,pub_id,hire_date from pubs..employee</v>
      </c>
    </row>
    <row r="2" spans="1:11" x14ac:dyDescent="0.2">
      <c r="A2" s="8" t="s">
        <v>166</v>
      </c>
      <c r="B2" s="8" t="s">
        <v>165</v>
      </c>
      <c r="C2" s="11" t="s">
        <v>164</v>
      </c>
      <c r="D2" s="8" t="s">
        <v>163</v>
      </c>
      <c r="E2" s="8" t="s">
        <v>162</v>
      </c>
      <c r="F2" s="8" t="s">
        <v>161</v>
      </c>
      <c r="G2" s="8" t="s">
        <v>160</v>
      </c>
      <c r="H2" s="11" t="s">
        <v>159</v>
      </c>
      <c r="I2" s="4" t="s">
        <v>191</v>
      </c>
    </row>
    <row r="3" spans="1:11" x14ac:dyDescent="0.2">
      <c r="A3" s="6" t="s">
        <v>158</v>
      </c>
      <c r="B3" s="6" t="s">
        <v>156</v>
      </c>
      <c r="C3" s="2" t="s">
        <v>22</v>
      </c>
      <c r="D3" s="6" t="s">
        <v>155</v>
      </c>
      <c r="E3" s="6">
        <v>10</v>
      </c>
      <c r="F3" s="6">
        <v>77</v>
      </c>
      <c r="G3" s="8" t="s">
        <v>174</v>
      </c>
      <c r="H3" s="2">
        <v>39017.034039351849</v>
      </c>
      <c r="I3" s="10">
        <f>E3+F3</f>
        <v>87</v>
      </c>
      <c r="J3" s="4"/>
      <c r="K3" s="4"/>
    </row>
    <row r="4" spans="1:11" x14ac:dyDescent="0.2">
      <c r="A4" s="6" t="s">
        <v>157</v>
      </c>
      <c r="B4" s="6" t="s">
        <v>156</v>
      </c>
      <c r="C4" s="2" t="s">
        <v>33</v>
      </c>
      <c r="D4" s="6" t="s">
        <v>155</v>
      </c>
      <c r="E4" s="6">
        <v>13</v>
      </c>
      <c r="F4" s="6">
        <v>77</v>
      </c>
      <c r="G4" s="8" t="s">
        <v>0</v>
      </c>
      <c r="H4" s="2">
        <v>33843</v>
      </c>
      <c r="I4" s="10">
        <f t="shared" ref="I4:I50" si="0">E4+F4</f>
        <v>90</v>
      </c>
      <c r="J4" s="6"/>
      <c r="K4" s="6"/>
    </row>
    <row r="5" spans="1:11" x14ac:dyDescent="0.2">
      <c r="A5" s="6" t="s">
        <v>154</v>
      </c>
      <c r="B5" s="6" t="s">
        <v>153</v>
      </c>
      <c r="C5" s="2" t="s">
        <v>59</v>
      </c>
      <c r="D5" s="6" t="s">
        <v>152</v>
      </c>
      <c r="E5" s="6">
        <v>12</v>
      </c>
      <c r="F5" s="6">
        <v>89</v>
      </c>
      <c r="G5" s="8" t="s">
        <v>5</v>
      </c>
      <c r="H5" s="2">
        <v>33231</v>
      </c>
      <c r="I5" s="10">
        <f t="shared" si="0"/>
        <v>101</v>
      </c>
    </row>
    <row r="6" spans="1:11" x14ac:dyDescent="0.2">
      <c r="A6" s="6" t="s">
        <v>151</v>
      </c>
      <c r="B6" s="6" t="s">
        <v>150</v>
      </c>
      <c r="C6" s="2" t="s">
        <v>70</v>
      </c>
      <c r="D6" s="6" t="s">
        <v>149</v>
      </c>
      <c r="E6" s="6">
        <v>7</v>
      </c>
      <c r="F6" s="6">
        <v>140</v>
      </c>
      <c r="G6" s="8" t="s">
        <v>0</v>
      </c>
      <c r="H6" s="2">
        <v>33129</v>
      </c>
      <c r="I6" s="10">
        <f t="shared" si="0"/>
        <v>147</v>
      </c>
    </row>
    <row r="7" spans="1:11" x14ac:dyDescent="0.2">
      <c r="A7" s="6" t="s">
        <v>148</v>
      </c>
      <c r="B7" s="6" t="s">
        <v>147</v>
      </c>
      <c r="C7" s="2" t="s">
        <v>349</v>
      </c>
      <c r="D7" s="6" t="s">
        <v>146</v>
      </c>
      <c r="E7" s="6">
        <v>6</v>
      </c>
      <c r="F7" s="6">
        <v>160</v>
      </c>
      <c r="G7" s="8" t="s">
        <v>0</v>
      </c>
      <c r="H7" s="2">
        <v>32772</v>
      </c>
      <c r="I7" s="10">
        <f t="shared" si="0"/>
        <v>166</v>
      </c>
    </row>
    <row r="8" spans="1:11" x14ac:dyDescent="0.2">
      <c r="A8" s="6" t="s">
        <v>145</v>
      </c>
      <c r="B8" s="6" t="s">
        <v>144</v>
      </c>
      <c r="C8" s="2" t="s">
        <v>97</v>
      </c>
      <c r="D8" s="6" t="s">
        <v>143</v>
      </c>
      <c r="E8" s="6">
        <v>7</v>
      </c>
      <c r="F8" s="6">
        <v>120</v>
      </c>
      <c r="G8" s="8" t="s">
        <v>0</v>
      </c>
      <c r="H8" s="2">
        <v>33282</v>
      </c>
      <c r="I8" s="10">
        <f t="shared" si="0"/>
        <v>127</v>
      </c>
      <c r="K8" s="4" t="s">
        <v>194</v>
      </c>
    </row>
    <row r="9" spans="1:11" x14ac:dyDescent="0.2">
      <c r="A9" s="6" t="s">
        <v>142</v>
      </c>
      <c r="B9" s="6" t="s">
        <v>141</v>
      </c>
      <c r="C9" s="2" t="s">
        <v>342</v>
      </c>
      <c r="D9" s="6" t="s">
        <v>140</v>
      </c>
      <c r="E9" s="6">
        <v>4</v>
      </c>
      <c r="F9" s="6">
        <v>227</v>
      </c>
      <c r="G9" s="8" t="s">
        <v>175</v>
      </c>
      <c r="H9" s="2">
        <v>33180</v>
      </c>
      <c r="I9" s="10">
        <f t="shared" si="0"/>
        <v>231</v>
      </c>
    </row>
    <row r="10" spans="1:11" x14ac:dyDescent="0.2">
      <c r="A10" s="6" t="s">
        <v>139</v>
      </c>
      <c r="B10" s="6" t="s">
        <v>138</v>
      </c>
      <c r="C10" s="2" t="s">
        <v>137</v>
      </c>
      <c r="D10" s="6" t="s">
        <v>136</v>
      </c>
      <c r="E10" s="6">
        <v>6</v>
      </c>
      <c r="F10" s="6">
        <v>215</v>
      </c>
      <c r="G10" s="8" t="s">
        <v>175</v>
      </c>
      <c r="H10" s="2">
        <v>32823</v>
      </c>
      <c r="I10" s="10">
        <f t="shared" si="0"/>
        <v>221</v>
      </c>
    </row>
    <row r="11" spans="1:11" x14ac:dyDescent="0.2">
      <c r="A11" s="6" t="s">
        <v>135</v>
      </c>
      <c r="B11" s="6" t="s">
        <v>134</v>
      </c>
      <c r="C11" s="2" t="s">
        <v>97</v>
      </c>
      <c r="D11" s="6" t="s">
        <v>133</v>
      </c>
      <c r="E11" s="6">
        <v>10</v>
      </c>
      <c r="F11" s="6">
        <v>87</v>
      </c>
      <c r="G11" s="8" t="s">
        <v>5</v>
      </c>
      <c r="H11" s="2">
        <v>33537</v>
      </c>
      <c r="I11" s="10">
        <f t="shared" si="0"/>
        <v>97</v>
      </c>
    </row>
    <row r="12" spans="1:11" x14ac:dyDescent="0.2">
      <c r="A12" s="6" t="s">
        <v>132</v>
      </c>
      <c r="B12" s="6" t="s">
        <v>131</v>
      </c>
      <c r="C12" s="2" t="s">
        <v>33</v>
      </c>
      <c r="D12" s="6" t="s">
        <v>130</v>
      </c>
      <c r="E12" s="6">
        <v>3</v>
      </c>
      <c r="F12" s="6">
        <v>200</v>
      </c>
      <c r="G12" s="8" t="s">
        <v>175</v>
      </c>
      <c r="H12" s="2">
        <v>33435</v>
      </c>
      <c r="I12" s="10">
        <f t="shared" si="0"/>
        <v>203</v>
      </c>
    </row>
    <row r="13" spans="1:11" x14ac:dyDescent="0.2">
      <c r="A13" s="6" t="s">
        <v>343</v>
      </c>
      <c r="B13" s="6" t="s">
        <v>344</v>
      </c>
      <c r="C13" s="2" t="s">
        <v>198</v>
      </c>
      <c r="D13" s="6" t="s">
        <v>345</v>
      </c>
      <c r="E13" s="6">
        <v>11</v>
      </c>
      <c r="F13" s="6">
        <v>77</v>
      </c>
      <c r="G13" s="8" t="s">
        <v>0</v>
      </c>
      <c r="H13" s="2">
        <v>36161</v>
      </c>
      <c r="I13" s="10">
        <f t="shared" si="0"/>
        <v>88</v>
      </c>
    </row>
    <row r="14" spans="1:11" x14ac:dyDescent="0.2">
      <c r="A14" s="6" t="s">
        <v>129</v>
      </c>
      <c r="B14" s="6" t="s">
        <v>128</v>
      </c>
      <c r="C14" s="2" t="s">
        <v>11</v>
      </c>
      <c r="D14" s="6" t="s">
        <v>127</v>
      </c>
      <c r="E14" s="6">
        <v>10</v>
      </c>
      <c r="F14" s="6">
        <v>77</v>
      </c>
      <c r="G14" s="8" t="s">
        <v>0</v>
      </c>
      <c r="H14" s="2">
        <v>33741</v>
      </c>
      <c r="I14" s="10">
        <f t="shared" si="0"/>
        <v>87</v>
      </c>
    </row>
    <row r="15" spans="1:11" x14ac:dyDescent="0.2">
      <c r="A15" s="6" t="s">
        <v>126</v>
      </c>
      <c r="B15" s="6" t="s">
        <v>125</v>
      </c>
      <c r="C15" s="2" t="s">
        <v>124</v>
      </c>
      <c r="D15" s="6" t="s">
        <v>123</v>
      </c>
      <c r="E15" s="6">
        <v>5</v>
      </c>
      <c r="F15" s="6">
        <v>159</v>
      </c>
      <c r="G15" s="8" t="s">
        <v>0</v>
      </c>
      <c r="H15" s="2">
        <v>34200</v>
      </c>
      <c r="I15" s="10">
        <f t="shared" si="0"/>
        <v>164</v>
      </c>
    </row>
    <row r="16" spans="1:11" x14ac:dyDescent="0.2">
      <c r="A16" s="6" t="s">
        <v>122</v>
      </c>
      <c r="B16" s="6" t="s">
        <v>121</v>
      </c>
      <c r="C16" s="2" t="s">
        <v>18</v>
      </c>
      <c r="D16" s="6" t="s">
        <v>120</v>
      </c>
      <c r="E16" s="6">
        <v>5</v>
      </c>
      <c r="F16" s="6">
        <v>211</v>
      </c>
      <c r="G16" s="8" t="s">
        <v>176</v>
      </c>
      <c r="H16" s="2">
        <v>32619</v>
      </c>
      <c r="I16" s="10">
        <f t="shared" si="0"/>
        <v>216</v>
      </c>
    </row>
    <row r="17" spans="1:9" x14ac:dyDescent="0.2">
      <c r="A17" s="6" t="s">
        <v>119</v>
      </c>
      <c r="B17" s="6" t="s">
        <v>118</v>
      </c>
      <c r="C17" s="2" t="s">
        <v>117</v>
      </c>
      <c r="D17" s="6" t="s">
        <v>116</v>
      </c>
      <c r="E17" s="6">
        <v>7</v>
      </c>
      <c r="F17" s="6">
        <v>195</v>
      </c>
      <c r="G17" s="8" t="s">
        <v>9</v>
      </c>
      <c r="H17" s="2">
        <v>34098</v>
      </c>
      <c r="I17" s="10">
        <f t="shared" si="0"/>
        <v>202</v>
      </c>
    </row>
    <row r="18" spans="1:9" x14ac:dyDescent="0.2">
      <c r="A18" s="6" t="s">
        <v>8</v>
      </c>
      <c r="B18" s="6" t="s">
        <v>7</v>
      </c>
      <c r="C18" s="2" t="s">
        <v>346</v>
      </c>
      <c r="D18" s="6" t="s">
        <v>6</v>
      </c>
      <c r="E18" s="6">
        <v>7</v>
      </c>
      <c r="F18" s="6">
        <v>170</v>
      </c>
      <c r="G18" s="8" t="s">
        <v>5</v>
      </c>
      <c r="H18" s="2">
        <v>40001</v>
      </c>
      <c r="I18" s="10">
        <f t="shared" si="0"/>
        <v>177</v>
      </c>
    </row>
    <row r="19" spans="1:9" x14ac:dyDescent="0.2">
      <c r="A19" s="6" t="s">
        <v>115</v>
      </c>
      <c r="B19" s="6" t="s">
        <v>114</v>
      </c>
      <c r="C19" s="2" t="s">
        <v>52</v>
      </c>
      <c r="D19" s="6" t="s">
        <v>113</v>
      </c>
      <c r="E19" s="6">
        <v>9</v>
      </c>
      <c r="F19" s="6">
        <v>170</v>
      </c>
      <c r="G19" s="8" t="s">
        <v>176</v>
      </c>
      <c r="H19" s="2">
        <v>34404</v>
      </c>
      <c r="I19" s="10">
        <f t="shared" si="0"/>
        <v>179</v>
      </c>
    </row>
    <row r="20" spans="1:9" x14ac:dyDescent="0.2">
      <c r="A20" s="6" t="s">
        <v>112</v>
      </c>
      <c r="B20" s="6" t="s">
        <v>111</v>
      </c>
      <c r="C20" s="2" t="s">
        <v>18</v>
      </c>
      <c r="D20" s="6" t="s">
        <v>110</v>
      </c>
      <c r="E20" s="6">
        <v>14</v>
      </c>
      <c r="F20" s="6">
        <v>100</v>
      </c>
      <c r="G20" s="8" t="s">
        <v>9</v>
      </c>
      <c r="H20" s="2">
        <v>33894</v>
      </c>
      <c r="I20" s="10">
        <f t="shared" si="0"/>
        <v>114</v>
      </c>
    </row>
    <row r="21" spans="1:9" x14ac:dyDescent="0.2">
      <c r="A21" s="6" t="s">
        <v>109</v>
      </c>
      <c r="B21" s="6" t="s">
        <v>108</v>
      </c>
      <c r="C21" s="2" t="s">
        <v>29</v>
      </c>
      <c r="D21" s="6" t="s">
        <v>107</v>
      </c>
      <c r="E21" s="6">
        <v>6</v>
      </c>
      <c r="F21" s="6">
        <v>220</v>
      </c>
      <c r="G21" s="8" t="s">
        <v>9</v>
      </c>
      <c r="H21" s="2">
        <v>34455</v>
      </c>
      <c r="I21" s="10">
        <f t="shared" si="0"/>
        <v>226</v>
      </c>
    </row>
    <row r="22" spans="1:9" x14ac:dyDescent="0.2">
      <c r="A22" s="6" t="s">
        <v>106</v>
      </c>
      <c r="B22" s="6" t="s">
        <v>105</v>
      </c>
      <c r="C22" s="2" t="s">
        <v>104</v>
      </c>
      <c r="D22" s="6" t="s">
        <v>103</v>
      </c>
      <c r="E22" s="6">
        <v>10</v>
      </c>
      <c r="F22" s="6">
        <v>80</v>
      </c>
      <c r="G22" s="8" t="s">
        <v>176</v>
      </c>
      <c r="H22" s="2">
        <v>34302</v>
      </c>
      <c r="I22" s="10">
        <f t="shared" si="0"/>
        <v>90</v>
      </c>
    </row>
    <row r="23" spans="1:9" x14ac:dyDescent="0.2">
      <c r="A23" s="6" t="s">
        <v>102</v>
      </c>
      <c r="B23" s="6" t="s">
        <v>101</v>
      </c>
      <c r="C23" s="2" t="s">
        <v>100</v>
      </c>
      <c r="D23" s="6" t="s">
        <v>99</v>
      </c>
      <c r="E23" s="6">
        <v>5</v>
      </c>
      <c r="F23" s="6">
        <v>172</v>
      </c>
      <c r="G23" s="8" t="s">
        <v>174</v>
      </c>
      <c r="H23" s="2">
        <v>33384</v>
      </c>
      <c r="I23" s="10">
        <f t="shared" si="0"/>
        <v>177</v>
      </c>
    </row>
    <row r="24" spans="1:9" x14ac:dyDescent="0.2">
      <c r="A24" s="6" t="s">
        <v>98</v>
      </c>
      <c r="B24" s="6" t="s">
        <v>53</v>
      </c>
      <c r="C24" s="2" t="s">
        <v>97</v>
      </c>
      <c r="D24" s="6" t="s">
        <v>96</v>
      </c>
      <c r="E24" s="6">
        <v>7</v>
      </c>
      <c r="F24" s="6">
        <v>135</v>
      </c>
      <c r="G24" s="8" t="s">
        <v>5</v>
      </c>
      <c r="H24" s="2">
        <v>33690</v>
      </c>
      <c r="I24" s="10">
        <f t="shared" si="0"/>
        <v>142</v>
      </c>
    </row>
    <row r="25" spans="1:9" x14ac:dyDescent="0.2">
      <c r="A25" s="6" t="s">
        <v>95</v>
      </c>
      <c r="B25" s="6" t="s">
        <v>94</v>
      </c>
      <c r="C25" s="2"/>
      <c r="D25" s="6" t="s">
        <v>93</v>
      </c>
      <c r="E25" s="6">
        <v>12</v>
      </c>
      <c r="F25" s="6">
        <v>77</v>
      </c>
      <c r="G25" s="8" t="s">
        <v>5</v>
      </c>
      <c r="H25" s="2">
        <v>32670</v>
      </c>
      <c r="I25" s="10">
        <f t="shared" si="0"/>
        <v>89</v>
      </c>
    </row>
    <row r="26" spans="1:9" x14ac:dyDescent="0.2">
      <c r="A26" s="6" t="s">
        <v>92</v>
      </c>
      <c r="B26" s="6" t="s">
        <v>91</v>
      </c>
      <c r="C26" s="2" t="s">
        <v>22</v>
      </c>
      <c r="D26" s="6" t="s">
        <v>90</v>
      </c>
      <c r="E26" s="6">
        <v>5</v>
      </c>
      <c r="F26" s="6">
        <v>175</v>
      </c>
      <c r="G26" s="8" t="s">
        <v>9</v>
      </c>
      <c r="H26" s="2">
        <v>33027</v>
      </c>
      <c r="I26" s="10">
        <f t="shared" si="0"/>
        <v>180</v>
      </c>
    </row>
    <row r="27" spans="1:9" x14ac:dyDescent="0.2">
      <c r="A27" s="6" t="s">
        <v>89</v>
      </c>
      <c r="B27" s="6" t="s">
        <v>88</v>
      </c>
      <c r="C27" s="2" t="s">
        <v>87</v>
      </c>
      <c r="D27" s="6" t="s">
        <v>86</v>
      </c>
      <c r="E27" s="6">
        <v>14</v>
      </c>
      <c r="F27" s="6">
        <v>77</v>
      </c>
      <c r="G27" s="8" t="s">
        <v>0</v>
      </c>
      <c r="H27" s="2">
        <v>33078</v>
      </c>
      <c r="I27" s="10">
        <f t="shared" si="0"/>
        <v>91</v>
      </c>
    </row>
    <row r="28" spans="1:9" x14ac:dyDescent="0.2">
      <c r="A28" s="6" t="s">
        <v>85</v>
      </c>
      <c r="B28" s="6" t="s">
        <v>84</v>
      </c>
      <c r="C28" s="2" t="s">
        <v>83</v>
      </c>
      <c r="D28" s="6" t="s">
        <v>82</v>
      </c>
      <c r="E28" s="6">
        <v>11</v>
      </c>
      <c r="F28" s="6">
        <v>150</v>
      </c>
      <c r="G28" s="8" t="s">
        <v>176</v>
      </c>
      <c r="H28" s="2">
        <v>32721</v>
      </c>
      <c r="I28" s="10">
        <f t="shared" si="0"/>
        <v>161</v>
      </c>
    </row>
    <row r="29" spans="1:9" x14ac:dyDescent="0.2">
      <c r="A29" s="6" t="s">
        <v>81</v>
      </c>
      <c r="B29" s="6" t="s">
        <v>80</v>
      </c>
      <c r="C29" s="2"/>
      <c r="D29" s="6" t="s">
        <v>79</v>
      </c>
      <c r="E29" s="6">
        <v>11</v>
      </c>
      <c r="F29" s="6">
        <v>150</v>
      </c>
      <c r="G29" s="8" t="s">
        <v>9</v>
      </c>
      <c r="H29" s="2">
        <v>33486</v>
      </c>
      <c r="I29" s="10">
        <f t="shared" si="0"/>
        <v>161</v>
      </c>
    </row>
    <row r="30" spans="1:9" x14ac:dyDescent="0.2">
      <c r="A30" s="6" t="s">
        <v>78</v>
      </c>
      <c r="B30" s="6" t="s">
        <v>77</v>
      </c>
      <c r="C30" s="2" t="s">
        <v>2</v>
      </c>
      <c r="D30" s="6" t="s">
        <v>76</v>
      </c>
      <c r="E30" s="6">
        <v>5</v>
      </c>
      <c r="F30" s="6">
        <v>198</v>
      </c>
      <c r="G30" s="8" t="s">
        <v>177</v>
      </c>
      <c r="H30" s="2">
        <v>34251</v>
      </c>
      <c r="I30" s="10">
        <f t="shared" si="0"/>
        <v>203</v>
      </c>
    </row>
    <row r="31" spans="1:9" x14ac:dyDescent="0.2">
      <c r="A31" s="6" t="s">
        <v>75</v>
      </c>
      <c r="B31" s="6" t="s">
        <v>74</v>
      </c>
      <c r="C31" s="2" t="s">
        <v>22</v>
      </c>
      <c r="D31" s="6" t="s">
        <v>73</v>
      </c>
      <c r="E31" s="6">
        <v>7</v>
      </c>
      <c r="F31" s="6">
        <v>120</v>
      </c>
      <c r="G31" s="8" t="s">
        <v>176</v>
      </c>
      <c r="H31" s="2">
        <v>34047</v>
      </c>
      <c r="I31" s="10">
        <f t="shared" si="0"/>
        <v>127</v>
      </c>
    </row>
    <row r="32" spans="1:9" x14ac:dyDescent="0.2">
      <c r="A32" s="6" t="s">
        <v>72</v>
      </c>
      <c r="B32" s="6" t="s">
        <v>71</v>
      </c>
      <c r="C32" s="2" t="s">
        <v>70</v>
      </c>
      <c r="D32" s="6" t="s">
        <v>69</v>
      </c>
      <c r="E32" s="6">
        <v>13</v>
      </c>
      <c r="F32" s="6">
        <v>100</v>
      </c>
      <c r="G32" s="8" t="s">
        <v>9</v>
      </c>
      <c r="H32" s="2">
        <v>32313</v>
      </c>
      <c r="I32" s="10">
        <f t="shared" si="0"/>
        <v>113</v>
      </c>
    </row>
    <row r="33" spans="1:9" x14ac:dyDescent="0.2">
      <c r="A33" s="6" t="s">
        <v>68</v>
      </c>
      <c r="B33" s="6" t="s">
        <v>67</v>
      </c>
      <c r="C33" s="2" t="s">
        <v>66</v>
      </c>
      <c r="D33" s="6" t="s">
        <v>65</v>
      </c>
      <c r="E33" s="6">
        <v>5</v>
      </c>
      <c r="F33" s="6">
        <v>150</v>
      </c>
      <c r="G33" s="8" t="s">
        <v>5</v>
      </c>
      <c r="H33" s="2">
        <v>33333</v>
      </c>
      <c r="I33" s="10">
        <f t="shared" si="0"/>
        <v>155</v>
      </c>
    </row>
    <row r="34" spans="1:9" x14ac:dyDescent="0.2">
      <c r="A34" s="6" t="s">
        <v>64</v>
      </c>
      <c r="B34" s="6" t="s">
        <v>63</v>
      </c>
      <c r="C34" s="2" t="s">
        <v>22</v>
      </c>
      <c r="D34" s="6" t="s">
        <v>62</v>
      </c>
      <c r="E34" s="6">
        <v>11</v>
      </c>
      <c r="F34" s="6">
        <v>112</v>
      </c>
      <c r="G34" s="8" t="s">
        <v>5</v>
      </c>
      <c r="H34" s="2">
        <v>33945</v>
      </c>
      <c r="I34" s="10">
        <f t="shared" si="0"/>
        <v>123</v>
      </c>
    </row>
    <row r="35" spans="1:9" x14ac:dyDescent="0.2">
      <c r="A35" s="6" t="s">
        <v>61</v>
      </c>
      <c r="B35" s="6" t="s">
        <v>60</v>
      </c>
      <c r="C35" s="2" t="s">
        <v>59</v>
      </c>
      <c r="D35" s="6" t="s">
        <v>58</v>
      </c>
      <c r="E35" s="6">
        <v>8</v>
      </c>
      <c r="F35" s="6">
        <v>125</v>
      </c>
      <c r="G35" s="8" t="s">
        <v>5</v>
      </c>
      <c r="H35" s="2">
        <v>34353</v>
      </c>
      <c r="I35" s="10">
        <f t="shared" si="0"/>
        <v>133</v>
      </c>
    </row>
    <row r="36" spans="1:9" x14ac:dyDescent="0.2">
      <c r="A36" s="6" t="s">
        <v>57</v>
      </c>
      <c r="B36" s="6" t="s">
        <v>56</v>
      </c>
      <c r="C36" s="2"/>
      <c r="D36" s="6" t="s">
        <v>55</v>
      </c>
      <c r="E36" s="6">
        <v>8</v>
      </c>
      <c r="F36" s="6">
        <v>101</v>
      </c>
      <c r="G36" s="8" t="s">
        <v>176</v>
      </c>
      <c r="H36" s="2">
        <v>32517</v>
      </c>
      <c r="I36" s="10">
        <f t="shared" si="0"/>
        <v>109</v>
      </c>
    </row>
    <row r="37" spans="1:9" x14ac:dyDescent="0.2">
      <c r="A37" s="6" t="s">
        <v>54</v>
      </c>
      <c r="B37" s="6" t="s">
        <v>53</v>
      </c>
      <c r="C37" s="2" t="s">
        <v>52</v>
      </c>
      <c r="D37" s="6" t="s">
        <v>51</v>
      </c>
      <c r="E37" s="6">
        <v>5</v>
      </c>
      <c r="F37" s="6">
        <v>246</v>
      </c>
      <c r="G37" s="8" t="s">
        <v>178</v>
      </c>
      <c r="H37" s="2">
        <v>32568</v>
      </c>
      <c r="I37" s="10">
        <f t="shared" si="0"/>
        <v>251</v>
      </c>
    </row>
    <row r="38" spans="1:9" x14ac:dyDescent="0.2">
      <c r="A38" s="6" t="s">
        <v>50</v>
      </c>
      <c r="B38" s="6" t="s">
        <v>49</v>
      </c>
      <c r="C38" s="2" t="s">
        <v>48</v>
      </c>
      <c r="D38" s="6" t="s">
        <v>47</v>
      </c>
      <c r="E38" s="6">
        <v>8</v>
      </c>
      <c r="F38" s="6">
        <v>100</v>
      </c>
      <c r="G38" s="8" t="s">
        <v>0</v>
      </c>
      <c r="H38" s="2">
        <v>33996</v>
      </c>
      <c r="I38" s="10">
        <f t="shared" si="0"/>
        <v>108</v>
      </c>
    </row>
    <row r="39" spans="1:9" x14ac:dyDescent="0.2">
      <c r="A39" s="6" t="s">
        <v>46</v>
      </c>
      <c r="B39" s="6" t="s">
        <v>45</v>
      </c>
      <c r="C39" s="2"/>
      <c r="D39" s="6" t="s">
        <v>44</v>
      </c>
      <c r="E39" s="6">
        <v>9</v>
      </c>
      <c r="F39" s="6">
        <v>77</v>
      </c>
      <c r="G39" s="8" t="s">
        <v>0</v>
      </c>
      <c r="H39" s="2">
        <v>33639</v>
      </c>
      <c r="I39" s="10">
        <f t="shared" si="0"/>
        <v>86</v>
      </c>
    </row>
    <row r="40" spans="1:9" x14ac:dyDescent="0.2">
      <c r="A40" s="6" t="s">
        <v>43</v>
      </c>
      <c r="B40" s="6" t="s">
        <v>42</v>
      </c>
      <c r="C40" s="2" t="s">
        <v>41</v>
      </c>
      <c r="D40" s="6" t="s">
        <v>40</v>
      </c>
      <c r="E40" s="6">
        <v>6</v>
      </c>
      <c r="F40" s="6">
        <v>192</v>
      </c>
      <c r="G40" s="8" t="s">
        <v>5</v>
      </c>
      <c r="H40" s="2">
        <v>33588</v>
      </c>
      <c r="I40" s="10">
        <f t="shared" si="0"/>
        <v>198</v>
      </c>
    </row>
    <row r="41" spans="1:9" x14ac:dyDescent="0.2">
      <c r="A41" s="6" t="s">
        <v>39</v>
      </c>
      <c r="B41" s="6" t="s">
        <v>38</v>
      </c>
      <c r="C41" s="2"/>
      <c r="D41" s="6" t="s">
        <v>36</v>
      </c>
      <c r="E41" s="6">
        <v>6</v>
      </c>
      <c r="F41" s="6">
        <v>152</v>
      </c>
      <c r="G41" s="8" t="s">
        <v>176</v>
      </c>
      <c r="H41" s="2">
        <v>32925</v>
      </c>
      <c r="I41" s="10">
        <f t="shared" si="0"/>
        <v>158</v>
      </c>
    </row>
    <row r="42" spans="1:9" x14ac:dyDescent="0.2">
      <c r="A42" s="6" t="s">
        <v>168</v>
      </c>
      <c r="B42" s="6" t="s">
        <v>169</v>
      </c>
      <c r="C42" s="2"/>
      <c r="D42" s="6" t="s">
        <v>167</v>
      </c>
      <c r="E42" s="6">
        <v>7</v>
      </c>
      <c r="F42" s="6">
        <v>170</v>
      </c>
      <c r="G42" s="8" t="s">
        <v>5</v>
      </c>
      <c r="H42" s="2">
        <v>40001</v>
      </c>
      <c r="I42" s="10">
        <f t="shared" si="0"/>
        <v>177</v>
      </c>
    </row>
    <row r="43" spans="1:9" x14ac:dyDescent="0.2">
      <c r="A43" s="6" t="s">
        <v>35</v>
      </c>
      <c r="B43" s="6" t="s">
        <v>34</v>
      </c>
      <c r="C43" s="2" t="s">
        <v>33</v>
      </c>
      <c r="D43" s="6" t="s">
        <v>32</v>
      </c>
      <c r="E43" s="6">
        <v>8</v>
      </c>
      <c r="F43" s="6">
        <v>175</v>
      </c>
      <c r="G43" s="8" t="s">
        <v>9</v>
      </c>
      <c r="H43" s="2">
        <v>34149</v>
      </c>
      <c r="I43" s="10">
        <f t="shared" si="0"/>
        <v>183</v>
      </c>
    </row>
    <row r="44" spans="1:9" x14ac:dyDescent="0.2">
      <c r="A44" s="6" t="s">
        <v>31</v>
      </c>
      <c r="B44" s="6" t="s">
        <v>30</v>
      </c>
      <c r="C44" s="2" t="s">
        <v>29</v>
      </c>
      <c r="D44" s="6" t="s">
        <v>28</v>
      </c>
      <c r="E44" s="6">
        <v>13</v>
      </c>
      <c r="F44" s="6">
        <v>77</v>
      </c>
      <c r="G44" s="8" t="s">
        <v>5</v>
      </c>
      <c r="H44" s="2">
        <v>33792</v>
      </c>
      <c r="I44" s="10">
        <f t="shared" si="0"/>
        <v>90</v>
      </c>
    </row>
    <row r="45" spans="1:9" x14ac:dyDescent="0.2">
      <c r="A45" s="6" t="s">
        <v>27</v>
      </c>
      <c r="B45" s="6" t="s">
        <v>26</v>
      </c>
      <c r="C45" s="2" t="s">
        <v>22</v>
      </c>
      <c r="D45" s="6" t="s">
        <v>25</v>
      </c>
      <c r="E45" s="6">
        <v>9</v>
      </c>
      <c r="F45" s="6">
        <v>78</v>
      </c>
      <c r="G45" s="8" t="s">
        <v>5</v>
      </c>
      <c r="H45" s="2">
        <v>32415</v>
      </c>
      <c r="I45" s="10">
        <f t="shared" si="0"/>
        <v>87</v>
      </c>
    </row>
    <row r="46" spans="1:9" x14ac:dyDescent="0.2">
      <c r="A46" s="6" t="s">
        <v>24</v>
      </c>
      <c r="B46" s="6" t="s">
        <v>23</v>
      </c>
      <c r="C46" s="2" t="s">
        <v>22</v>
      </c>
      <c r="D46" s="6" t="s">
        <v>21</v>
      </c>
      <c r="E46" s="6">
        <v>12</v>
      </c>
      <c r="F46" s="6">
        <v>100</v>
      </c>
      <c r="G46" s="8" t="s">
        <v>9</v>
      </c>
      <c r="H46" s="2">
        <v>32466</v>
      </c>
      <c r="I46" s="10">
        <f t="shared" si="0"/>
        <v>112</v>
      </c>
    </row>
    <row r="47" spans="1:9" x14ac:dyDescent="0.2">
      <c r="A47" s="6" t="s">
        <v>20</v>
      </c>
      <c r="B47" s="6" t="s">
        <v>19</v>
      </c>
      <c r="C47" s="2" t="s">
        <v>18</v>
      </c>
      <c r="D47" s="6" t="s">
        <v>17</v>
      </c>
      <c r="E47" s="6">
        <v>10</v>
      </c>
      <c r="F47" s="6">
        <v>165</v>
      </c>
      <c r="G47" s="8" t="s">
        <v>9</v>
      </c>
      <c r="H47" s="2">
        <v>32976</v>
      </c>
      <c r="I47" s="10">
        <f t="shared" si="0"/>
        <v>175</v>
      </c>
    </row>
    <row r="48" spans="1:9" x14ac:dyDescent="0.2">
      <c r="A48" s="6" t="s">
        <v>16</v>
      </c>
      <c r="B48" s="6" t="s">
        <v>15</v>
      </c>
      <c r="C48" s="2" t="s">
        <v>2</v>
      </c>
      <c r="D48" s="6" t="s">
        <v>14</v>
      </c>
      <c r="E48" s="6">
        <v>13</v>
      </c>
      <c r="F48" s="6">
        <v>77</v>
      </c>
      <c r="G48" s="8" t="s">
        <v>0</v>
      </c>
      <c r="H48" s="2">
        <v>39378.009108796294</v>
      </c>
      <c r="I48" s="10">
        <f t="shared" si="0"/>
        <v>90</v>
      </c>
    </row>
    <row r="49" spans="1:9" x14ac:dyDescent="0.2">
      <c r="A49" s="6" t="s">
        <v>13</v>
      </c>
      <c r="B49" s="6" t="s">
        <v>12</v>
      </c>
      <c r="C49" s="2" t="s">
        <v>11</v>
      </c>
      <c r="D49" s="6" t="s">
        <v>10</v>
      </c>
      <c r="E49" s="6">
        <v>9</v>
      </c>
      <c r="F49" s="6">
        <v>170</v>
      </c>
      <c r="G49" s="6" t="s">
        <v>9</v>
      </c>
      <c r="H49" s="2">
        <v>32364</v>
      </c>
      <c r="I49" s="10">
        <f t="shared" si="0"/>
        <v>179</v>
      </c>
    </row>
    <row r="50" spans="1:9" x14ac:dyDescent="0.2">
      <c r="A50" s="6" t="s">
        <v>4</v>
      </c>
      <c r="B50" s="6" t="s">
        <v>3</v>
      </c>
      <c r="C50" s="2" t="s">
        <v>2</v>
      </c>
      <c r="D50" s="6" t="s">
        <v>1</v>
      </c>
      <c r="E50" s="6">
        <v>11</v>
      </c>
      <c r="F50" s="6">
        <v>77</v>
      </c>
      <c r="G50" s="6" t="s">
        <v>0</v>
      </c>
      <c r="H50" s="2">
        <v>32874</v>
      </c>
      <c r="I50" s="10">
        <f t="shared" si="0"/>
        <v>88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W49"/>
  <sheetViews>
    <sheetView tabSelected="1" workbookViewId="0">
      <selection activeCell="K14" sqref="K14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9" t="str">
        <f>_xll.DBSetQuery("select emp_id,fname,minit,lname,j.job_desc,job_lvl,pub_id,hire_date from pubs..employee e inner join pubs..jobs j on j.job_id = e.job_id",3,A2)</f>
        <v>Env:Development, (last result:)Set OLEDB; ListObject to (bgQuery= True, ): select emp_id,fname,minit,lname,j.job_desc,job_lvl,pub_id,hire_date from pubs..employee e inner join pubs..jobs j on j.job_id = e.job_id</v>
      </c>
    </row>
    <row r="2" spans="1:23" x14ac:dyDescent="0.2">
      <c r="A2" s="12" t="s">
        <v>166</v>
      </c>
      <c r="B2" s="12" t="s">
        <v>165</v>
      </c>
      <c r="C2" s="12" t="s">
        <v>164</v>
      </c>
      <c r="D2" s="12" t="s">
        <v>163</v>
      </c>
      <c r="E2" s="12" t="s">
        <v>179</v>
      </c>
      <c r="F2" s="12" t="s">
        <v>162</v>
      </c>
      <c r="G2" s="12" t="s">
        <v>161</v>
      </c>
      <c r="H2" s="12" t="s">
        <v>160</v>
      </c>
      <c r="I2" s="12" t="s">
        <v>159</v>
      </c>
    </row>
    <row r="3" spans="1:23" x14ac:dyDescent="0.2">
      <c r="A3" s="12" t="s">
        <v>158</v>
      </c>
      <c r="B3" s="12" t="s">
        <v>156</v>
      </c>
      <c r="C3" s="12" t="s">
        <v>22</v>
      </c>
      <c r="D3" s="12" t="s">
        <v>155</v>
      </c>
      <c r="E3" s="13" t="s">
        <v>186</v>
      </c>
      <c r="F3" s="12">
        <f>VLOOKUP(TestTable[[#This Row],[job_desc]],jobsLU,2,FALSE)</f>
        <v>10</v>
      </c>
      <c r="G3" s="12">
        <v>77</v>
      </c>
      <c r="H3" s="12" t="s">
        <v>174</v>
      </c>
      <c r="I3" s="14">
        <v>39017.034039351849</v>
      </c>
    </row>
    <row r="4" spans="1:23" x14ac:dyDescent="0.2">
      <c r="A4" s="12" t="s">
        <v>154</v>
      </c>
      <c r="B4" s="12" t="s">
        <v>153</v>
      </c>
      <c r="C4" s="12" t="s">
        <v>59</v>
      </c>
      <c r="D4" s="12" t="s">
        <v>152</v>
      </c>
      <c r="E4" s="13" t="s">
        <v>188</v>
      </c>
      <c r="F4" s="12">
        <f>VLOOKUP(TestTable[[#This Row],[job_desc]],jobsLU,2,FALSE)</f>
        <v>12</v>
      </c>
      <c r="G4" s="12">
        <v>89</v>
      </c>
      <c r="H4" s="12" t="s">
        <v>5</v>
      </c>
      <c r="I4" s="14">
        <v>33231</v>
      </c>
    </row>
    <row r="5" spans="1:23" x14ac:dyDescent="0.2">
      <c r="A5" s="12" t="s">
        <v>151</v>
      </c>
      <c r="B5" s="12" t="s">
        <v>150</v>
      </c>
      <c r="C5" s="12" t="s">
        <v>70</v>
      </c>
      <c r="D5" s="12" t="s">
        <v>149</v>
      </c>
      <c r="E5" s="13" t="s">
        <v>183</v>
      </c>
      <c r="F5" s="12">
        <f>VLOOKUP(TestTable[[#This Row],[job_desc]],jobsLU,2,FALSE)</f>
        <v>7</v>
      </c>
      <c r="G5" s="12">
        <v>140</v>
      </c>
      <c r="H5" s="12" t="s">
        <v>0</v>
      </c>
      <c r="I5" s="14">
        <v>33129</v>
      </c>
      <c r="N5" t="str">
        <f>_xll.DBRowFetch("select * from pubs..authors","",TRUE,O8:W8,O9:W32)</f>
        <v>Env:Test, (last result:)Retrieved 23 records from: select * from pubs..authors</v>
      </c>
    </row>
    <row r="6" spans="1:23" x14ac:dyDescent="0.2">
      <c r="A6" s="12" t="s">
        <v>148</v>
      </c>
      <c r="B6" s="12" t="s">
        <v>147</v>
      </c>
      <c r="C6" s="12" t="s">
        <v>349</v>
      </c>
      <c r="D6" s="12" t="s">
        <v>146</v>
      </c>
      <c r="E6" s="13" t="s">
        <v>182</v>
      </c>
      <c r="F6" s="12">
        <f>VLOOKUP(TestTable[[#This Row],[job_desc]],jobsLU,2,FALSE)</f>
        <v>6</v>
      </c>
      <c r="G6" s="12">
        <v>160</v>
      </c>
      <c r="H6" s="12" t="s">
        <v>0</v>
      </c>
      <c r="I6" s="14">
        <v>32772</v>
      </c>
    </row>
    <row r="7" spans="1:23" x14ac:dyDescent="0.2">
      <c r="A7" s="12" t="s">
        <v>145</v>
      </c>
      <c r="B7" s="12" t="s">
        <v>144</v>
      </c>
      <c r="C7" s="12" t="s">
        <v>97</v>
      </c>
      <c r="D7" s="12" t="s">
        <v>143</v>
      </c>
      <c r="E7" s="13" t="s">
        <v>183</v>
      </c>
      <c r="F7" s="12">
        <f>VLOOKUP(TestTable[[#This Row],[job_desc]],jobsLU,2,FALSE)</f>
        <v>7</v>
      </c>
      <c r="G7" s="12">
        <v>120</v>
      </c>
      <c r="H7" s="12" t="s">
        <v>0</v>
      </c>
      <c r="I7" s="14">
        <v>33282</v>
      </c>
    </row>
    <row r="8" spans="1:23" x14ac:dyDescent="0.2">
      <c r="A8" s="12" t="s">
        <v>142</v>
      </c>
      <c r="B8" s="12" t="s">
        <v>141</v>
      </c>
      <c r="C8" s="12" t="s">
        <v>342</v>
      </c>
      <c r="D8" s="12" t="s">
        <v>140</v>
      </c>
      <c r="E8" s="13" t="s">
        <v>181</v>
      </c>
      <c r="F8" s="12">
        <f>VLOOKUP(TestTable[[#This Row],[job_desc]],jobsLU,2,FALSE)</f>
        <v>4</v>
      </c>
      <c r="G8" s="12">
        <v>227</v>
      </c>
      <c r="H8" s="12" t="s">
        <v>175</v>
      </c>
      <c r="I8" s="14">
        <v>33180</v>
      </c>
      <c r="O8" t="s">
        <v>200</v>
      </c>
      <c r="P8" t="s">
        <v>201</v>
      </c>
      <c r="Q8" t="s">
        <v>202</v>
      </c>
      <c r="R8" t="s">
        <v>203</v>
      </c>
      <c r="S8" t="s">
        <v>204</v>
      </c>
      <c r="T8" t="s">
        <v>205</v>
      </c>
      <c r="U8" t="s">
        <v>206</v>
      </c>
      <c r="V8" t="s">
        <v>207</v>
      </c>
      <c r="W8" t="s">
        <v>208</v>
      </c>
    </row>
    <row r="9" spans="1:23" x14ac:dyDescent="0.2">
      <c r="A9" s="12" t="s">
        <v>139</v>
      </c>
      <c r="B9" s="12" t="s">
        <v>138</v>
      </c>
      <c r="C9" s="12" t="s">
        <v>137</v>
      </c>
      <c r="D9" s="12" t="s">
        <v>136</v>
      </c>
      <c r="E9" s="13" t="s">
        <v>182</v>
      </c>
      <c r="F9" s="12">
        <f>VLOOKUP(TestTable[[#This Row],[job_desc]],jobsLU,2,FALSE)</f>
        <v>6</v>
      </c>
      <c r="G9" s="12">
        <v>215</v>
      </c>
      <c r="H9" s="12" t="s">
        <v>175</v>
      </c>
      <c r="I9" s="14">
        <v>32823</v>
      </c>
      <c r="O9" t="s">
        <v>209</v>
      </c>
      <c r="P9" t="s">
        <v>210</v>
      </c>
      <c r="Q9" t="s">
        <v>211</v>
      </c>
      <c r="R9" t="s">
        <v>212</v>
      </c>
      <c r="S9" t="s">
        <v>213</v>
      </c>
      <c r="T9" t="s">
        <v>214</v>
      </c>
      <c r="U9" t="s">
        <v>215</v>
      </c>
      <c r="V9">
        <v>94025</v>
      </c>
      <c r="W9" t="b">
        <v>1</v>
      </c>
    </row>
    <row r="10" spans="1:23" x14ac:dyDescent="0.2">
      <c r="A10" s="12" t="s">
        <v>135</v>
      </c>
      <c r="B10" s="12" t="s">
        <v>134</v>
      </c>
      <c r="C10" s="12" t="s">
        <v>97</v>
      </c>
      <c r="D10" s="12" t="s">
        <v>133</v>
      </c>
      <c r="E10" s="13" t="s">
        <v>186</v>
      </c>
      <c r="F10" s="12">
        <f>VLOOKUP(TestTable[[#This Row],[job_desc]],jobsLU,2,FALSE)</f>
        <v>10</v>
      </c>
      <c r="G10" s="12">
        <v>87</v>
      </c>
      <c r="H10" s="12" t="s">
        <v>5</v>
      </c>
      <c r="I10" s="14">
        <v>33537</v>
      </c>
      <c r="O10" t="s">
        <v>216</v>
      </c>
      <c r="P10" t="s">
        <v>217</v>
      </c>
      <c r="Q10" t="s">
        <v>218</v>
      </c>
      <c r="R10" t="s">
        <v>219</v>
      </c>
      <c r="S10" t="s">
        <v>347</v>
      </c>
      <c r="T10" t="s">
        <v>220</v>
      </c>
      <c r="U10" t="s">
        <v>215</v>
      </c>
      <c r="V10">
        <v>94618</v>
      </c>
      <c r="W10" t="b">
        <v>1</v>
      </c>
    </row>
    <row r="11" spans="1:23" x14ac:dyDescent="0.2">
      <c r="A11" s="12" t="s">
        <v>132</v>
      </c>
      <c r="B11" s="12" t="s">
        <v>131</v>
      </c>
      <c r="C11" s="12" t="s">
        <v>33</v>
      </c>
      <c r="D11" s="12" t="s">
        <v>130</v>
      </c>
      <c r="E11" s="13" t="s">
        <v>180</v>
      </c>
      <c r="F11" s="12">
        <f>VLOOKUP(TestTable[[#This Row],[job_desc]],jobsLU,2,FALSE)</f>
        <v>3</v>
      </c>
      <c r="G11" s="12">
        <v>200</v>
      </c>
      <c r="H11" s="12" t="s">
        <v>175</v>
      </c>
      <c r="I11" s="14">
        <v>33435</v>
      </c>
      <c r="O11" t="s">
        <v>221</v>
      </c>
      <c r="P11" t="s">
        <v>222</v>
      </c>
      <c r="Q11" t="s">
        <v>223</v>
      </c>
      <c r="R11" t="s">
        <v>224</v>
      </c>
      <c r="S11" t="s">
        <v>225</v>
      </c>
      <c r="T11" t="s">
        <v>226</v>
      </c>
      <c r="U11" t="s">
        <v>215</v>
      </c>
      <c r="V11">
        <v>94705</v>
      </c>
      <c r="W11" t="b">
        <v>1</v>
      </c>
    </row>
    <row r="12" spans="1:23" x14ac:dyDescent="0.2">
      <c r="A12" s="12" t="s">
        <v>343</v>
      </c>
      <c r="B12" s="12" t="s">
        <v>344</v>
      </c>
      <c r="C12" s="12" t="s">
        <v>198</v>
      </c>
      <c r="D12" s="12" t="s">
        <v>345</v>
      </c>
      <c r="E12" s="13" t="s">
        <v>187</v>
      </c>
      <c r="F12" s="12">
        <f>VLOOKUP(TestTable[[#This Row],[job_desc]],jobsLU,2,FALSE)</f>
        <v>11</v>
      </c>
      <c r="G12" s="12">
        <v>77</v>
      </c>
      <c r="H12" s="12" t="s">
        <v>0</v>
      </c>
      <c r="I12" s="14">
        <v>36161</v>
      </c>
      <c r="K12" s="4" t="s">
        <v>195</v>
      </c>
      <c r="O12" t="s">
        <v>227</v>
      </c>
      <c r="P12" t="s">
        <v>228</v>
      </c>
      <c r="Q12" t="s">
        <v>229</v>
      </c>
      <c r="R12" t="s">
        <v>230</v>
      </c>
      <c r="S12" t="s">
        <v>231</v>
      </c>
      <c r="T12" t="s">
        <v>232</v>
      </c>
      <c r="U12" t="s">
        <v>215</v>
      </c>
      <c r="V12">
        <v>95128</v>
      </c>
      <c r="W12" t="b">
        <v>1</v>
      </c>
    </row>
    <row r="13" spans="1:23" x14ac:dyDescent="0.2">
      <c r="A13" s="12" t="s">
        <v>129</v>
      </c>
      <c r="B13" s="12" t="s">
        <v>128</v>
      </c>
      <c r="C13" s="12" t="s">
        <v>11</v>
      </c>
      <c r="D13" s="12" t="s">
        <v>127</v>
      </c>
      <c r="E13" s="13" t="s">
        <v>186</v>
      </c>
      <c r="F13" s="12">
        <f>VLOOKUP(TestTable[[#This Row],[job_desc]],jobsLU,2,FALSE)</f>
        <v>10</v>
      </c>
      <c r="G13" s="12">
        <v>77</v>
      </c>
      <c r="H13" s="12" t="s">
        <v>0</v>
      </c>
      <c r="I13" s="14">
        <v>33741</v>
      </c>
      <c r="K13" s="4" t="s">
        <v>350</v>
      </c>
      <c r="O13" t="s">
        <v>233</v>
      </c>
      <c r="P13" t="s">
        <v>234</v>
      </c>
      <c r="Q13" t="s">
        <v>235</v>
      </c>
      <c r="R13" t="s">
        <v>236</v>
      </c>
      <c r="S13" t="s">
        <v>237</v>
      </c>
      <c r="T13" t="s">
        <v>220</v>
      </c>
      <c r="U13" t="s">
        <v>215</v>
      </c>
      <c r="V13">
        <v>94609</v>
      </c>
      <c r="W13" t="b">
        <v>1</v>
      </c>
    </row>
    <row r="14" spans="1:23" x14ac:dyDescent="0.2">
      <c r="A14" s="12" t="s">
        <v>126</v>
      </c>
      <c r="B14" s="12" t="s">
        <v>125</v>
      </c>
      <c r="C14" s="12" t="s">
        <v>124</v>
      </c>
      <c r="D14" s="12" t="s">
        <v>123</v>
      </c>
      <c r="E14" s="13" t="s">
        <v>47</v>
      </c>
      <c r="F14" s="12">
        <f>VLOOKUP(TestTable[[#This Row],[job_desc]],jobsLU,2,FALSE)</f>
        <v>5</v>
      </c>
      <c r="G14" s="12">
        <v>159</v>
      </c>
      <c r="H14" s="12" t="s">
        <v>0</v>
      </c>
      <c r="I14" s="14">
        <v>34200</v>
      </c>
      <c r="O14" t="s">
        <v>238</v>
      </c>
      <c r="P14" t="s">
        <v>25</v>
      </c>
      <c r="Q14" t="s">
        <v>239</v>
      </c>
      <c r="R14" t="s">
        <v>240</v>
      </c>
      <c r="S14" t="s">
        <v>241</v>
      </c>
      <c r="T14" t="s">
        <v>242</v>
      </c>
      <c r="U14" t="s">
        <v>243</v>
      </c>
      <c r="V14">
        <v>66044</v>
      </c>
      <c r="W14" t="b">
        <v>0</v>
      </c>
    </row>
    <row r="15" spans="1:23" x14ac:dyDescent="0.2">
      <c r="A15" s="12" t="s">
        <v>122</v>
      </c>
      <c r="B15" s="12" t="s">
        <v>121</v>
      </c>
      <c r="C15" s="12" t="s">
        <v>18</v>
      </c>
      <c r="D15" s="12" t="s">
        <v>120</v>
      </c>
      <c r="E15" s="13" t="s">
        <v>47</v>
      </c>
      <c r="F15" s="12">
        <f>VLOOKUP(TestTable[[#This Row],[job_desc]],jobsLU,2,FALSE)</f>
        <v>5</v>
      </c>
      <c r="G15" s="12">
        <v>211</v>
      </c>
      <c r="H15" s="12" t="s">
        <v>176</v>
      </c>
      <c r="I15" s="14">
        <v>32619</v>
      </c>
      <c r="O15" t="s">
        <v>244</v>
      </c>
      <c r="P15" t="s">
        <v>245</v>
      </c>
      <c r="Q15" t="s">
        <v>246</v>
      </c>
      <c r="R15" t="s">
        <v>247</v>
      </c>
      <c r="S15" t="s">
        <v>248</v>
      </c>
      <c r="T15" t="s">
        <v>226</v>
      </c>
      <c r="U15" t="s">
        <v>215</v>
      </c>
      <c r="V15">
        <v>94705</v>
      </c>
      <c r="W15" t="b">
        <v>1</v>
      </c>
    </row>
    <row r="16" spans="1:23" x14ac:dyDescent="0.2">
      <c r="A16" s="12" t="s">
        <v>119</v>
      </c>
      <c r="B16" s="12" t="s">
        <v>118</v>
      </c>
      <c r="C16" s="12" t="s">
        <v>117</v>
      </c>
      <c r="D16" s="12" t="s">
        <v>116</v>
      </c>
      <c r="E16" s="13" t="s">
        <v>183</v>
      </c>
      <c r="F16" s="12">
        <f>VLOOKUP(TestTable[[#This Row],[job_desc]],jobsLU,2,FALSE)</f>
        <v>7</v>
      </c>
      <c r="G16" s="12">
        <v>195</v>
      </c>
      <c r="H16" s="12" t="s">
        <v>9</v>
      </c>
      <c r="I16" s="14">
        <v>34098</v>
      </c>
      <c r="L16" s="9" t="str">
        <f>_xll.DBListFetch("select job_desc, job_id from pubs..jobs","",jobsLU)</f>
        <v>Env:Test, (last result:)Retrieved 14 records from: select job_desc, job_id from pubs..jobs</v>
      </c>
      <c r="O16" t="s">
        <v>249</v>
      </c>
      <c r="P16" t="s">
        <v>250</v>
      </c>
      <c r="Q16" t="s">
        <v>131</v>
      </c>
      <c r="R16" t="s">
        <v>251</v>
      </c>
      <c r="S16" t="s">
        <v>252</v>
      </c>
      <c r="T16" t="s">
        <v>253</v>
      </c>
      <c r="U16" t="s">
        <v>215</v>
      </c>
      <c r="V16">
        <v>94301</v>
      </c>
      <c r="W16" t="b">
        <v>1</v>
      </c>
    </row>
    <row r="17" spans="1:23" x14ac:dyDescent="0.2">
      <c r="A17" s="12" t="s">
        <v>8</v>
      </c>
      <c r="B17" s="12" t="s">
        <v>7</v>
      </c>
      <c r="C17" s="12" t="s">
        <v>346</v>
      </c>
      <c r="D17" s="12" t="s">
        <v>6</v>
      </c>
      <c r="E17" s="13" t="s">
        <v>183</v>
      </c>
      <c r="F17" s="12">
        <f>VLOOKUP(TestTable[[#This Row],[job_desc]],jobsLU,2,FALSE)</f>
        <v>7</v>
      </c>
      <c r="G17" s="12">
        <v>170</v>
      </c>
      <c r="H17" s="12" t="s">
        <v>5</v>
      </c>
      <c r="I17" s="14">
        <v>40001</v>
      </c>
      <c r="L17" s="6" t="s">
        <v>197</v>
      </c>
      <c r="M17" s="6">
        <v>1</v>
      </c>
      <c r="O17" t="s">
        <v>254</v>
      </c>
      <c r="P17" t="s">
        <v>255</v>
      </c>
      <c r="Q17" t="s">
        <v>256</v>
      </c>
      <c r="R17" t="s">
        <v>257</v>
      </c>
      <c r="S17" t="s">
        <v>258</v>
      </c>
      <c r="T17" t="s">
        <v>259</v>
      </c>
      <c r="U17" t="s">
        <v>215</v>
      </c>
      <c r="V17">
        <v>95428</v>
      </c>
      <c r="W17" t="b">
        <v>1</v>
      </c>
    </row>
    <row r="18" spans="1:23" x14ac:dyDescent="0.2">
      <c r="A18" s="12" t="s">
        <v>115</v>
      </c>
      <c r="B18" s="12" t="s">
        <v>114</v>
      </c>
      <c r="C18" s="12" t="s">
        <v>52</v>
      </c>
      <c r="D18" s="12" t="s">
        <v>113</v>
      </c>
      <c r="E18" s="13" t="s">
        <v>185</v>
      </c>
      <c r="F18" s="12">
        <f>VLOOKUP(TestTable[[#This Row],[job_desc]],jobsLU,2,FALSE)</f>
        <v>9</v>
      </c>
      <c r="G18" s="12">
        <v>170</v>
      </c>
      <c r="H18" s="12" t="s">
        <v>176</v>
      </c>
      <c r="I18" s="14">
        <v>34404</v>
      </c>
      <c r="L18" s="6" t="s">
        <v>341</v>
      </c>
      <c r="M18" s="6">
        <v>2</v>
      </c>
      <c r="O18" t="s">
        <v>260</v>
      </c>
      <c r="P18" t="s">
        <v>261</v>
      </c>
      <c r="Q18" t="s">
        <v>262</v>
      </c>
      <c r="R18" t="s">
        <v>263</v>
      </c>
      <c r="S18" t="s">
        <v>264</v>
      </c>
      <c r="T18" t="s">
        <v>265</v>
      </c>
      <c r="U18" t="s">
        <v>215</v>
      </c>
      <c r="V18">
        <v>94130</v>
      </c>
      <c r="W18" t="b">
        <v>1</v>
      </c>
    </row>
    <row r="19" spans="1:23" x14ac:dyDescent="0.2">
      <c r="A19" s="12" t="s">
        <v>112</v>
      </c>
      <c r="B19" s="12" t="s">
        <v>111</v>
      </c>
      <c r="C19" s="12" t="s">
        <v>18</v>
      </c>
      <c r="D19" s="12" t="s">
        <v>110</v>
      </c>
      <c r="E19" s="13" t="s">
        <v>190</v>
      </c>
      <c r="F19" s="12">
        <f>VLOOKUP(TestTable[[#This Row],[job_desc]],jobsLU,2,FALSE)</f>
        <v>14</v>
      </c>
      <c r="G19" s="12">
        <v>100</v>
      </c>
      <c r="H19" s="12" t="s">
        <v>9</v>
      </c>
      <c r="I19" s="14">
        <v>33894</v>
      </c>
      <c r="L19" s="6" t="s">
        <v>180</v>
      </c>
      <c r="M19" s="6">
        <v>3</v>
      </c>
      <c r="O19" t="s">
        <v>266</v>
      </c>
      <c r="P19" t="s">
        <v>267</v>
      </c>
      <c r="Q19" t="s">
        <v>268</v>
      </c>
      <c r="R19" t="s">
        <v>269</v>
      </c>
      <c r="S19" t="s">
        <v>270</v>
      </c>
      <c r="T19" t="s">
        <v>271</v>
      </c>
      <c r="U19" t="s">
        <v>272</v>
      </c>
      <c r="V19">
        <v>37215</v>
      </c>
      <c r="W19" t="b">
        <v>0</v>
      </c>
    </row>
    <row r="20" spans="1:23" x14ac:dyDescent="0.2">
      <c r="A20" s="12" t="s">
        <v>109</v>
      </c>
      <c r="B20" s="12" t="s">
        <v>108</v>
      </c>
      <c r="C20" s="12" t="s">
        <v>29</v>
      </c>
      <c r="D20" s="12" t="s">
        <v>107</v>
      </c>
      <c r="E20" s="13" t="s">
        <v>182</v>
      </c>
      <c r="F20" s="12">
        <f>VLOOKUP(TestTable[[#This Row],[job_desc]],jobsLU,2,FALSE)</f>
        <v>6</v>
      </c>
      <c r="G20" s="12">
        <v>220</v>
      </c>
      <c r="H20" s="12" t="s">
        <v>9</v>
      </c>
      <c r="I20" s="14">
        <v>34455</v>
      </c>
      <c r="L20" s="6" t="s">
        <v>181</v>
      </c>
      <c r="M20" s="6">
        <v>4</v>
      </c>
      <c r="O20" t="s">
        <v>273</v>
      </c>
      <c r="P20" t="s">
        <v>274</v>
      </c>
      <c r="Q20" t="s">
        <v>275</v>
      </c>
      <c r="R20" t="s">
        <v>276</v>
      </c>
      <c r="S20" t="s">
        <v>277</v>
      </c>
      <c r="T20" t="s">
        <v>278</v>
      </c>
      <c r="U20" t="s">
        <v>279</v>
      </c>
      <c r="V20">
        <v>97330</v>
      </c>
      <c r="W20" t="b">
        <v>1</v>
      </c>
    </row>
    <row r="21" spans="1:23" x14ac:dyDescent="0.2">
      <c r="A21" s="12" t="s">
        <v>106</v>
      </c>
      <c r="B21" s="12" t="s">
        <v>105</v>
      </c>
      <c r="C21" s="12" t="s">
        <v>104</v>
      </c>
      <c r="D21" s="12" t="s">
        <v>103</v>
      </c>
      <c r="E21" s="13" t="s">
        <v>186</v>
      </c>
      <c r="F21" s="12">
        <f>VLOOKUP(TestTable[[#This Row],[job_desc]],jobsLU,2,FALSE)</f>
        <v>10</v>
      </c>
      <c r="G21" s="12">
        <v>80</v>
      </c>
      <c r="H21" s="12" t="s">
        <v>176</v>
      </c>
      <c r="I21" s="14">
        <v>34302</v>
      </c>
      <c r="L21" s="6" t="s">
        <v>47</v>
      </c>
      <c r="M21" s="6">
        <v>5</v>
      </c>
      <c r="O21" t="s">
        <v>280</v>
      </c>
      <c r="P21" t="s">
        <v>281</v>
      </c>
      <c r="Q21" t="s">
        <v>282</v>
      </c>
      <c r="R21" t="s">
        <v>283</v>
      </c>
      <c r="S21" t="s">
        <v>284</v>
      </c>
      <c r="T21" t="s">
        <v>285</v>
      </c>
      <c r="U21" t="s">
        <v>215</v>
      </c>
      <c r="V21">
        <v>94595</v>
      </c>
      <c r="W21" t="b">
        <v>1</v>
      </c>
    </row>
    <row r="22" spans="1:23" x14ac:dyDescent="0.2">
      <c r="A22" s="12" t="s">
        <v>102</v>
      </c>
      <c r="B22" s="12" t="s">
        <v>101</v>
      </c>
      <c r="C22" s="12" t="s">
        <v>100</v>
      </c>
      <c r="D22" s="12" t="s">
        <v>99</v>
      </c>
      <c r="E22" s="13" t="s">
        <v>47</v>
      </c>
      <c r="F22" s="12">
        <f>VLOOKUP(TestTable[[#This Row],[job_desc]],jobsLU,2,FALSE)</f>
        <v>5</v>
      </c>
      <c r="G22" s="12">
        <v>172</v>
      </c>
      <c r="H22" s="12" t="s">
        <v>174</v>
      </c>
      <c r="I22" s="14">
        <v>33384</v>
      </c>
      <c r="L22" s="6" t="s">
        <v>182</v>
      </c>
      <c r="M22" s="6">
        <v>6</v>
      </c>
      <c r="O22" t="s">
        <v>286</v>
      </c>
      <c r="P22" t="s">
        <v>287</v>
      </c>
      <c r="Q22" t="s">
        <v>288</v>
      </c>
      <c r="R22" t="s">
        <v>289</v>
      </c>
      <c r="S22" t="s">
        <v>290</v>
      </c>
      <c r="T22" t="s">
        <v>291</v>
      </c>
      <c r="U22" t="s">
        <v>292</v>
      </c>
      <c r="V22">
        <v>48105</v>
      </c>
      <c r="W22" t="b">
        <v>1</v>
      </c>
    </row>
    <row r="23" spans="1:23" x14ac:dyDescent="0.2">
      <c r="A23" s="12" t="s">
        <v>98</v>
      </c>
      <c r="B23" s="12" t="s">
        <v>53</v>
      </c>
      <c r="C23" s="12" t="s">
        <v>97</v>
      </c>
      <c r="D23" s="12" t="s">
        <v>96</v>
      </c>
      <c r="E23" s="13" t="s">
        <v>183</v>
      </c>
      <c r="F23" s="12">
        <f>VLOOKUP(TestTable[[#This Row],[job_desc]],jobsLU,2,FALSE)</f>
        <v>7</v>
      </c>
      <c r="G23" s="12">
        <v>135</v>
      </c>
      <c r="H23" s="12" t="s">
        <v>5</v>
      </c>
      <c r="I23" s="14">
        <v>33690</v>
      </c>
      <c r="L23" s="6" t="s">
        <v>183</v>
      </c>
      <c r="M23" s="6">
        <v>7</v>
      </c>
      <c r="O23" t="s">
        <v>293</v>
      </c>
      <c r="P23" t="s">
        <v>294</v>
      </c>
      <c r="Q23" t="s">
        <v>295</v>
      </c>
      <c r="R23" t="s">
        <v>296</v>
      </c>
      <c r="S23" t="s">
        <v>297</v>
      </c>
      <c r="T23" t="s">
        <v>12</v>
      </c>
      <c r="U23" t="s">
        <v>298</v>
      </c>
      <c r="V23">
        <v>46403</v>
      </c>
      <c r="W23" t="b">
        <v>1</v>
      </c>
    </row>
    <row r="24" spans="1:23" x14ac:dyDescent="0.2">
      <c r="A24" s="12" t="s">
        <v>95</v>
      </c>
      <c r="B24" s="12" t="s">
        <v>94</v>
      </c>
      <c r="C24" s="12"/>
      <c r="D24" s="12" t="s">
        <v>93</v>
      </c>
      <c r="E24" s="13" t="s">
        <v>188</v>
      </c>
      <c r="F24" s="12">
        <f>VLOOKUP(TestTable[[#This Row],[job_desc]],jobsLU,2,FALSE)</f>
        <v>12</v>
      </c>
      <c r="G24" s="12">
        <v>77</v>
      </c>
      <c r="H24" s="12" t="s">
        <v>5</v>
      </c>
      <c r="I24" s="14">
        <v>32670</v>
      </c>
      <c r="L24" s="6" t="s">
        <v>184</v>
      </c>
      <c r="M24" s="6">
        <v>8</v>
      </c>
      <c r="O24" t="s">
        <v>299</v>
      </c>
      <c r="P24" t="s">
        <v>300</v>
      </c>
      <c r="Q24" t="s">
        <v>301</v>
      </c>
      <c r="R24" t="s">
        <v>302</v>
      </c>
      <c r="S24" t="s">
        <v>303</v>
      </c>
      <c r="T24" t="s">
        <v>220</v>
      </c>
      <c r="U24" t="s">
        <v>215</v>
      </c>
      <c r="V24">
        <v>94609</v>
      </c>
      <c r="W24" t="b">
        <v>0</v>
      </c>
    </row>
    <row r="25" spans="1:23" x14ac:dyDescent="0.2">
      <c r="A25" s="12" t="s">
        <v>92</v>
      </c>
      <c r="B25" s="12" t="s">
        <v>91</v>
      </c>
      <c r="C25" s="12" t="s">
        <v>22</v>
      </c>
      <c r="D25" s="12" t="s">
        <v>90</v>
      </c>
      <c r="E25" s="13" t="s">
        <v>47</v>
      </c>
      <c r="F25" s="12">
        <f>VLOOKUP(TestTable[[#This Row],[job_desc]],jobsLU,2,FALSE)</f>
        <v>5</v>
      </c>
      <c r="G25" s="12">
        <v>175</v>
      </c>
      <c r="H25" s="12" t="s">
        <v>9</v>
      </c>
      <c r="I25" s="14">
        <v>33027</v>
      </c>
      <c r="L25" s="6" t="s">
        <v>185</v>
      </c>
      <c r="M25" s="6">
        <v>9</v>
      </c>
      <c r="O25" t="s">
        <v>304</v>
      </c>
      <c r="P25" t="s">
        <v>305</v>
      </c>
      <c r="Q25" t="s">
        <v>306</v>
      </c>
      <c r="R25" t="s">
        <v>307</v>
      </c>
      <c r="S25" t="s">
        <v>308</v>
      </c>
      <c r="T25" t="s">
        <v>220</v>
      </c>
      <c r="U25" t="s">
        <v>215</v>
      </c>
      <c r="V25">
        <v>94612</v>
      </c>
      <c r="W25" t="b">
        <v>1</v>
      </c>
    </row>
    <row r="26" spans="1:23" x14ac:dyDescent="0.2">
      <c r="A26" s="12" t="s">
        <v>89</v>
      </c>
      <c r="B26" s="12" t="s">
        <v>88</v>
      </c>
      <c r="C26" s="12" t="s">
        <v>87</v>
      </c>
      <c r="D26" s="12" t="s">
        <v>86</v>
      </c>
      <c r="E26" s="13" t="s">
        <v>190</v>
      </c>
      <c r="F26" s="12">
        <f>VLOOKUP(TestTable[[#This Row],[job_desc]],jobsLU,2,FALSE)</f>
        <v>14</v>
      </c>
      <c r="G26" s="12">
        <v>77</v>
      </c>
      <c r="H26" s="12" t="s">
        <v>0</v>
      </c>
      <c r="I26" s="14">
        <v>33078</v>
      </c>
      <c r="L26" s="6" t="s">
        <v>186</v>
      </c>
      <c r="M26" s="6">
        <v>10</v>
      </c>
      <c r="O26" t="s">
        <v>309</v>
      </c>
      <c r="P26" t="s">
        <v>310</v>
      </c>
      <c r="Q26" t="s">
        <v>311</v>
      </c>
      <c r="R26" t="s">
        <v>312</v>
      </c>
      <c r="S26" t="s">
        <v>313</v>
      </c>
      <c r="T26" t="s">
        <v>220</v>
      </c>
      <c r="U26" t="s">
        <v>215</v>
      </c>
      <c r="V26">
        <v>94609</v>
      </c>
      <c r="W26" t="b">
        <v>1</v>
      </c>
    </row>
    <row r="27" spans="1:23" x14ac:dyDescent="0.2">
      <c r="A27" s="12" t="s">
        <v>85</v>
      </c>
      <c r="B27" s="12" t="s">
        <v>84</v>
      </c>
      <c r="C27" s="12" t="s">
        <v>83</v>
      </c>
      <c r="D27" s="12" t="s">
        <v>82</v>
      </c>
      <c r="E27" s="13" t="s">
        <v>187</v>
      </c>
      <c r="F27" s="12">
        <f>VLOOKUP(TestTable[[#This Row],[job_desc]],jobsLU,2,FALSE)</f>
        <v>11</v>
      </c>
      <c r="G27" s="12">
        <v>150</v>
      </c>
      <c r="H27" s="12" t="s">
        <v>176</v>
      </c>
      <c r="I27" s="14">
        <v>32721</v>
      </c>
      <c r="L27" s="6" t="s">
        <v>187</v>
      </c>
      <c r="M27" s="6">
        <v>11</v>
      </c>
      <c r="O27" t="s">
        <v>314</v>
      </c>
      <c r="P27" t="s">
        <v>315</v>
      </c>
      <c r="Q27" t="s">
        <v>316</v>
      </c>
      <c r="R27" t="s">
        <v>317</v>
      </c>
      <c r="S27" t="s">
        <v>318</v>
      </c>
      <c r="T27" t="s">
        <v>319</v>
      </c>
      <c r="U27" t="s">
        <v>320</v>
      </c>
      <c r="V27">
        <v>20853</v>
      </c>
      <c r="W27" t="b">
        <v>1</v>
      </c>
    </row>
    <row r="28" spans="1:23" x14ac:dyDescent="0.2">
      <c r="A28" s="12" t="s">
        <v>81</v>
      </c>
      <c r="B28" s="12" t="s">
        <v>80</v>
      </c>
      <c r="C28" s="12"/>
      <c r="D28" s="12" t="s">
        <v>79</v>
      </c>
      <c r="E28" s="13" t="s">
        <v>187</v>
      </c>
      <c r="F28" s="12">
        <f>VLOOKUP(TestTable[[#This Row],[job_desc]],jobsLU,2,FALSE)</f>
        <v>11</v>
      </c>
      <c r="G28" s="12">
        <v>150</v>
      </c>
      <c r="H28" s="12" t="s">
        <v>9</v>
      </c>
      <c r="I28" s="14">
        <v>33486</v>
      </c>
      <c r="L28" s="6" t="s">
        <v>188</v>
      </c>
      <c r="M28" s="6">
        <v>12</v>
      </c>
      <c r="O28" t="s">
        <v>321</v>
      </c>
      <c r="P28" t="s">
        <v>322</v>
      </c>
      <c r="Q28" t="s">
        <v>323</v>
      </c>
      <c r="R28" t="s">
        <v>251</v>
      </c>
      <c r="S28" t="s">
        <v>252</v>
      </c>
      <c r="T28" t="s">
        <v>253</v>
      </c>
      <c r="U28" t="s">
        <v>215</v>
      </c>
      <c r="V28">
        <v>94301</v>
      </c>
      <c r="W28" t="b">
        <v>0</v>
      </c>
    </row>
    <row r="29" spans="1:23" x14ac:dyDescent="0.2">
      <c r="A29" s="12" t="s">
        <v>78</v>
      </c>
      <c r="B29" s="12" t="s">
        <v>77</v>
      </c>
      <c r="C29" s="12" t="s">
        <v>2</v>
      </c>
      <c r="D29" s="12" t="s">
        <v>76</v>
      </c>
      <c r="E29" s="13" t="s">
        <v>47</v>
      </c>
      <c r="F29" s="12">
        <f>VLOOKUP(TestTable[[#This Row],[job_desc]],jobsLU,2,FALSE)</f>
        <v>5</v>
      </c>
      <c r="G29" s="12">
        <v>198</v>
      </c>
      <c r="H29" s="12" t="s">
        <v>177</v>
      </c>
      <c r="I29" s="14">
        <v>34251</v>
      </c>
      <c r="L29" s="6" t="s">
        <v>189</v>
      </c>
      <c r="M29" s="6">
        <v>13</v>
      </c>
      <c r="O29" t="s">
        <v>324</v>
      </c>
      <c r="P29" t="s">
        <v>325</v>
      </c>
      <c r="Q29" t="s">
        <v>326</v>
      </c>
      <c r="R29" t="s">
        <v>327</v>
      </c>
      <c r="S29" t="s">
        <v>328</v>
      </c>
      <c r="T29" t="s">
        <v>329</v>
      </c>
      <c r="U29" t="s">
        <v>215</v>
      </c>
      <c r="V29">
        <v>95688</v>
      </c>
      <c r="W29" t="b">
        <v>1</v>
      </c>
    </row>
    <row r="30" spans="1:23" x14ac:dyDescent="0.2">
      <c r="A30" s="12" t="s">
        <v>75</v>
      </c>
      <c r="B30" s="12" t="s">
        <v>74</v>
      </c>
      <c r="C30" s="12" t="s">
        <v>22</v>
      </c>
      <c r="D30" s="12" t="s">
        <v>73</v>
      </c>
      <c r="E30" s="13" t="s">
        <v>183</v>
      </c>
      <c r="F30" s="12">
        <f>VLOOKUP(TestTable[[#This Row],[job_desc]],jobsLU,2,FALSE)</f>
        <v>7</v>
      </c>
      <c r="G30" s="12">
        <v>120</v>
      </c>
      <c r="H30" s="12" t="s">
        <v>176</v>
      </c>
      <c r="I30" s="14">
        <v>34047</v>
      </c>
      <c r="L30" s="6" t="s">
        <v>190</v>
      </c>
      <c r="M30" s="6">
        <v>14</v>
      </c>
      <c r="O30" t="s">
        <v>330</v>
      </c>
      <c r="P30" t="s">
        <v>331</v>
      </c>
      <c r="Q30" t="s">
        <v>332</v>
      </c>
      <c r="R30" t="s">
        <v>333</v>
      </c>
      <c r="S30" t="s">
        <v>334</v>
      </c>
      <c r="T30" t="s">
        <v>335</v>
      </c>
      <c r="U30" t="s">
        <v>336</v>
      </c>
      <c r="V30">
        <v>84152</v>
      </c>
      <c r="W30" t="b">
        <v>1</v>
      </c>
    </row>
    <row r="31" spans="1:23" x14ac:dyDescent="0.2">
      <c r="A31" s="12" t="s">
        <v>72</v>
      </c>
      <c r="B31" s="12" t="s">
        <v>71</v>
      </c>
      <c r="C31" s="12" t="s">
        <v>70</v>
      </c>
      <c r="D31" s="12" t="s">
        <v>69</v>
      </c>
      <c r="E31" s="13" t="s">
        <v>189</v>
      </c>
      <c r="F31" s="12">
        <f>VLOOKUP(TestTable[[#This Row],[job_desc]],jobsLU,2,FALSE)</f>
        <v>13</v>
      </c>
      <c r="G31" s="12">
        <v>100</v>
      </c>
      <c r="H31" s="12" t="s">
        <v>9</v>
      </c>
      <c r="I31" s="14">
        <v>32313</v>
      </c>
      <c r="L31" s="6"/>
      <c r="M31" s="6"/>
      <c r="O31" t="s">
        <v>337</v>
      </c>
      <c r="P31" t="s">
        <v>331</v>
      </c>
      <c r="Q31" t="s">
        <v>338</v>
      </c>
      <c r="R31" t="s">
        <v>333</v>
      </c>
      <c r="S31" t="s">
        <v>334</v>
      </c>
      <c r="T31" t="s">
        <v>335</v>
      </c>
      <c r="U31" t="s">
        <v>336</v>
      </c>
      <c r="V31">
        <v>84152</v>
      </c>
      <c r="W31" t="b">
        <v>1</v>
      </c>
    </row>
    <row r="32" spans="1:23" x14ac:dyDescent="0.2">
      <c r="A32" s="12" t="s">
        <v>68</v>
      </c>
      <c r="B32" s="12" t="s">
        <v>67</v>
      </c>
      <c r="C32" s="12" t="s">
        <v>66</v>
      </c>
      <c r="D32" s="12" t="s">
        <v>65</v>
      </c>
      <c r="E32" s="13" t="s">
        <v>47</v>
      </c>
      <c r="F32" s="12">
        <f>VLOOKUP(TestTable[[#This Row],[job_desc]],jobsLU,2,FALSE)</f>
        <v>5</v>
      </c>
      <c r="G32" s="12">
        <v>150</v>
      </c>
      <c r="H32" s="12" t="s">
        <v>5</v>
      </c>
      <c r="I32" s="14">
        <v>33333</v>
      </c>
    </row>
    <row r="33" spans="1:9" x14ac:dyDescent="0.2">
      <c r="A33" s="12" t="s">
        <v>64</v>
      </c>
      <c r="B33" s="12" t="s">
        <v>63</v>
      </c>
      <c r="C33" s="12" t="s">
        <v>22</v>
      </c>
      <c r="D33" s="12" t="s">
        <v>62</v>
      </c>
      <c r="E33" s="13" t="s">
        <v>187</v>
      </c>
      <c r="F33" s="12">
        <f>VLOOKUP(TestTable[[#This Row],[job_desc]],jobsLU,2,FALSE)</f>
        <v>11</v>
      </c>
      <c r="G33" s="12">
        <v>112</v>
      </c>
      <c r="H33" s="12" t="s">
        <v>5</v>
      </c>
      <c r="I33" s="14">
        <v>33945</v>
      </c>
    </row>
    <row r="34" spans="1:9" x14ac:dyDescent="0.2">
      <c r="A34" s="12" t="s">
        <v>61</v>
      </c>
      <c r="B34" s="12" t="s">
        <v>60</v>
      </c>
      <c r="C34" s="12" t="s">
        <v>59</v>
      </c>
      <c r="D34" s="12" t="s">
        <v>58</v>
      </c>
      <c r="E34" s="13" t="s">
        <v>184</v>
      </c>
      <c r="F34" s="12">
        <f>VLOOKUP(TestTable[[#This Row],[job_desc]],jobsLU,2,FALSE)</f>
        <v>8</v>
      </c>
      <c r="G34" s="12">
        <v>125</v>
      </c>
      <c r="H34" s="12" t="s">
        <v>5</v>
      </c>
      <c r="I34" s="14">
        <v>34353</v>
      </c>
    </row>
    <row r="35" spans="1:9" x14ac:dyDescent="0.2">
      <c r="A35" s="12" t="s">
        <v>57</v>
      </c>
      <c r="B35" s="12" t="s">
        <v>56</v>
      </c>
      <c r="C35" s="12"/>
      <c r="D35" s="12" t="s">
        <v>55</v>
      </c>
      <c r="E35" s="13" t="s">
        <v>184</v>
      </c>
      <c r="F35" s="12">
        <f>VLOOKUP(TestTable[[#This Row],[job_desc]],jobsLU,2,FALSE)</f>
        <v>8</v>
      </c>
      <c r="G35" s="12">
        <v>101</v>
      </c>
      <c r="H35" s="12" t="s">
        <v>176</v>
      </c>
      <c r="I35" s="14">
        <v>32517</v>
      </c>
    </row>
    <row r="36" spans="1:9" x14ac:dyDescent="0.2">
      <c r="A36" s="12" t="s">
        <v>54</v>
      </c>
      <c r="B36" s="12" t="s">
        <v>53</v>
      </c>
      <c r="C36" s="12" t="s">
        <v>52</v>
      </c>
      <c r="D36" s="12" t="s">
        <v>51</v>
      </c>
      <c r="E36" s="13" t="s">
        <v>47</v>
      </c>
      <c r="F36" s="12">
        <f>VLOOKUP(TestTable[[#This Row],[job_desc]],jobsLU,2,FALSE)</f>
        <v>5</v>
      </c>
      <c r="G36" s="12">
        <v>246</v>
      </c>
      <c r="H36" s="12" t="s">
        <v>178</v>
      </c>
      <c r="I36" s="14">
        <v>32568</v>
      </c>
    </row>
    <row r="37" spans="1:9" x14ac:dyDescent="0.2">
      <c r="A37" s="12" t="s">
        <v>50</v>
      </c>
      <c r="B37" s="12" t="s">
        <v>49</v>
      </c>
      <c r="C37" s="12" t="s">
        <v>48</v>
      </c>
      <c r="D37" s="12" t="s">
        <v>47</v>
      </c>
      <c r="E37" s="13" t="s">
        <v>184</v>
      </c>
      <c r="F37" s="12">
        <f>VLOOKUP(TestTable[[#This Row],[job_desc]],jobsLU,2,FALSE)</f>
        <v>8</v>
      </c>
      <c r="G37" s="12">
        <v>100</v>
      </c>
      <c r="H37" s="12" t="s">
        <v>0</v>
      </c>
      <c r="I37" s="14">
        <v>33996</v>
      </c>
    </row>
    <row r="38" spans="1:9" x14ac:dyDescent="0.2">
      <c r="A38" s="12" t="s">
        <v>46</v>
      </c>
      <c r="B38" s="12" t="s">
        <v>45</v>
      </c>
      <c r="C38" s="12"/>
      <c r="D38" s="12" t="s">
        <v>44</v>
      </c>
      <c r="E38" s="13" t="s">
        <v>185</v>
      </c>
      <c r="F38" s="12">
        <f>VLOOKUP(TestTable[[#This Row],[job_desc]],jobsLU,2,FALSE)</f>
        <v>9</v>
      </c>
      <c r="G38" s="12">
        <v>77</v>
      </c>
      <c r="H38" s="12" t="s">
        <v>0</v>
      </c>
      <c r="I38" s="14">
        <v>33639</v>
      </c>
    </row>
    <row r="39" spans="1:9" x14ac:dyDescent="0.2">
      <c r="A39" s="12" t="s">
        <v>43</v>
      </c>
      <c r="B39" s="12" t="s">
        <v>42</v>
      </c>
      <c r="C39" s="12" t="s">
        <v>41</v>
      </c>
      <c r="D39" s="12" t="s">
        <v>40</v>
      </c>
      <c r="E39" s="13" t="s">
        <v>182</v>
      </c>
      <c r="F39" s="12">
        <f>VLOOKUP(TestTable[[#This Row],[job_desc]],jobsLU,2,FALSE)</f>
        <v>6</v>
      </c>
      <c r="G39" s="12">
        <v>192</v>
      </c>
      <c r="H39" s="12" t="s">
        <v>5</v>
      </c>
      <c r="I39" s="14">
        <v>33588</v>
      </c>
    </row>
    <row r="40" spans="1:9" x14ac:dyDescent="0.2">
      <c r="A40" s="12" t="s">
        <v>39</v>
      </c>
      <c r="B40" s="12" t="s">
        <v>38</v>
      </c>
      <c r="C40" s="12"/>
      <c r="D40" s="12" t="s">
        <v>36</v>
      </c>
      <c r="E40" s="13" t="s">
        <v>182</v>
      </c>
      <c r="F40" s="12">
        <f>VLOOKUP(TestTable[[#This Row],[job_desc]],jobsLU,2,FALSE)</f>
        <v>6</v>
      </c>
      <c r="G40" s="12">
        <v>152</v>
      </c>
      <c r="H40" s="12" t="s">
        <v>176</v>
      </c>
      <c r="I40" s="14">
        <v>32925</v>
      </c>
    </row>
    <row r="41" spans="1:9" x14ac:dyDescent="0.2">
      <c r="A41" s="12" t="s">
        <v>168</v>
      </c>
      <c r="B41" s="12" t="s">
        <v>169</v>
      </c>
      <c r="C41" s="12"/>
      <c r="D41" s="12" t="s">
        <v>167</v>
      </c>
      <c r="E41" s="13" t="s">
        <v>183</v>
      </c>
      <c r="F41" s="12">
        <f>VLOOKUP(TestTable[[#This Row],[job_desc]],jobsLU,2,FALSE)</f>
        <v>7</v>
      </c>
      <c r="G41" s="12">
        <v>170</v>
      </c>
      <c r="H41" s="12" t="s">
        <v>5</v>
      </c>
      <c r="I41" s="14">
        <v>40001</v>
      </c>
    </row>
    <row r="42" spans="1:9" x14ac:dyDescent="0.2">
      <c r="A42" s="12" t="s">
        <v>35</v>
      </c>
      <c r="B42" s="12" t="s">
        <v>34</v>
      </c>
      <c r="C42" s="12" t="s">
        <v>33</v>
      </c>
      <c r="D42" s="12" t="s">
        <v>32</v>
      </c>
      <c r="E42" s="13" t="s">
        <v>184</v>
      </c>
      <c r="F42" s="12">
        <f>VLOOKUP(TestTable[[#This Row],[job_desc]],jobsLU,2,FALSE)</f>
        <v>8</v>
      </c>
      <c r="G42" s="12">
        <v>175</v>
      </c>
      <c r="H42" s="12" t="s">
        <v>9</v>
      </c>
      <c r="I42" s="14">
        <v>34149</v>
      </c>
    </row>
    <row r="43" spans="1:9" x14ac:dyDescent="0.2">
      <c r="A43" s="12" t="s">
        <v>31</v>
      </c>
      <c r="B43" s="12" t="s">
        <v>30</v>
      </c>
      <c r="C43" s="12" t="s">
        <v>29</v>
      </c>
      <c r="D43" s="12" t="s">
        <v>28</v>
      </c>
      <c r="E43" s="13" t="s">
        <v>189</v>
      </c>
      <c r="F43" s="12">
        <f>VLOOKUP(TestTable[[#This Row],[job_desc]],jobsLU,2,FALSE)</f>
        <v>13</v>
      </c>
      <c r="G43" s="12">
        <v>77</v>
      </c>
      <c r="H43" s="12" t="s">
        <v>5</v>
      </c>
      <c r="I43" s="14">
        <v>33792</v>
      </c>
    </row>
    <row r="44" spans="1:9" x14ac:dyDescent="0.2">
      <c r="A44" s="12" t="s">
        <v>27</v>
      </c>
      <c r="B44" s="12" t="s">
        <v>26</v>
      </c>
      <c r="C44" s="12" t="s">
        <v>22</v>
      </c>
      <c r="D44" s="12" t="s">
        <v>25</v>
      </c>
      <c r="E44" s="13" t="s">
        <v>185</v>
      </c>
      <c r="F44" s="12">
        <f>VLOOKUP(TestTable[[#This Row],[job_desc]],jobsLU,2,FALSE)</f>
        <v>9</v>
      </c>
      <c r="G44" s="12">
        <v>78</v>
      </c>
      <c r="H44" s="12" t="s">
        <v>5</v>
      </c>
      <c r="I44" s="14">
        <v>32415</v>
      </c>
    </row>
    <row r="45" spans="1:9" x14ac:dyDescent="0.2">
      <c r="A45" s="12" t="s">
        <v>24</v>
      </c>
      <c r="B45" s="12" t="s">
        <v>23</v>
      </c>
      <c r="C45" s="12" t="s">
        <v>22</v>
      </c>
      <c r="D45" s="12" t="s">
        <v>21</v>
      </c>
      <c r="E45" s="13" t="s">
        <v>188</v>
      </c>
      <c r="F45" s="12">
        <f>VLOOKUP(TestTable[[#This Row],[job_desc]],jobsLU,2,FALSE)</f>
        <v>12</v>
      </c>
      <c r="G45" s="12">
        <v>100</v>
      </c>
      <c r="H45" s="12" t="s">
        <v>9</v>
      </c>
      <c r="I45" s="14">
        <v>32466</v>
      </c>
    </row>
    <row r="46" spans="1:9" x14ac:dyDescent="0.2">
      <c r="A46" s="12" t="s">
        <v>20</v>
      </c>
      <c r="B46" s="12" t="s">
        <v>19</v>
      </c>
      <c r="C46" s="12" t="s">
        <v>18</v>
      </c>
      <c r="D46" s="12" t="s">
        <v>17</v>
      </c>
      <c r="E46" s="13" t="s">
        <v>186</v>
      </c>
      <c r="F46" s="12">
        <f>VLOOKUP(TestTable[[#This Row],[job_desc]],jobsLU,2,FALSE)</f>
        <v>10</v>
      </c>
      <c r="G46" s="12">
        <v>165</v>
      </c>
      <c r="H46" s="12" t="s">
        <v>9</v>
      </c>
      <c r="I46" s="14">
        <v>32976</v>
      </c>
    </row>
    <row r="47" spans="1:9" x14ac:dyDescent="0.2">
      <c r="A47" s="12" t="s">
        <v>16</v>
      </c>
      <c r="B47" s="12" t="s">
        <v>15</v>
      </c>
      <c r="C47" s="12" t="s">
        <v>2</v>
      </c>
      <c r="D47" s="12" t="s">
        <v>14</v>
      </c>
      <c r="E47" s="13" t="s">
        <v>189</v>
      </c>
      <c r="F47" s="12">
        <f>VLOOKUP(TestTable[[#This Row],[job_desc]],jobsLU,2,FALSE)</f>
        <v>13</v>
      </c>
      <c r="G47" s="12">
        <v>77</v>
      </c>
      <c r="H47" s="12" t="s">
        <v>0</v>
      </c>
      <c r="I47" s="14">
        <v>39378.009108796294</v>
      </c>
    </row>
    <row r="48" spans="1:9" x14ac:dyDescent="0.2">
      <c r="A48" s="12" t="s">
        <v>13</v>
      </c>
      <c r="B48" s="12" t="s">
        <v>12</v>
      </c>
      <c r="C48" s="12" t="s">
        <v>11</v>
      </c>
      <c r="D48" s="12" t="s">
        <v>10</v>
      </c>
      <c r="E48" s="13" t="s">
        <v>185</v>
      </c>
      <c r="F48" s="12"/>
      <c r="G48" s="12">
        <v>170</v>
      </c>
      <c r="H48" s="12" t="s">
        <v>9</v>
      </c>
      <c r="I48" s="14">
        <v>32364</v>
      </c>
    </row>
    <row r="49" spans="1:9" x14ac:dyDescent="0.2">
      <c r="A49" s="12" t="s">
        <v>4</v>
      </c>
      <c r="B49" s="12" t="s">
        <v>3</v>
      </c>
      <c r="C49" s="12" t="s">
        <v>2</v>
      </c>
      <c r="D49" s="12" t="s">
        <v>1</v>
      </c>
      <c r="E49" s="13" t="s">
        <v>187</v>
      </c>
      <c r="F49" s="15">
        <v>11</v>
      </c>
      <c r="G49" s="12">
        <v>77</v>
      </c>
      <c r="H49" s="12" t="s">
        <v>0</v>
      </c>
      <c r="I49" s="14">
        <v>32874</v>
      </c>
    </row>
  </sheetData>
  <dataConsolidate/>
  <dataValidations count="1">
    <dataValidation type="list" allowBlank="1" showInputMessage="1" showErrorMessage="1" sqref="E3:E49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D3"/>
  <sheetViews>
    <sheetView workbookViewId="0">
      <selection activeCell="B3" sqref="B3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348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196</v>
      </c>
    </row>
    <row r="3" spans="1:4" x14ac:dyDescent="0.2">
      <c r="A3" s="7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B5"/>
  <sheetViews>
    <sheetView workbookViewId="0">
      <selection activeCell="H45" sqref="H45"/>
    </sheetView>
  </sheetViews>
  <sheetFormatPr baseColWidth="10" defaultRowHeight="12.75" x14ac:dyDescent="0.2"/>
  <cols>
    <col min="1" max="1" width="19" customWidth="1"/>
  </cols>
  <sheetData>
    <row r="1" spans="1:2" x14ac:dyDescent="0.2">
      <c r="A1" t="s">
        <v>170</v>
      </c>
    </row>
    <row r="2" spans="1:2" x14ac:dyDescent="0.2">
      <c r="A2" t="s">
        <v>171</v>
      </c>
    </row>
    <row r="3" spans="1:2" x14ac:dyDescent="0.2">
      <c r="A3" t="s">
        <v>339</v>
      </c>
    </row>
    <row r="4" spans="1:2" x14ac:dyDescent="0.2">
      <c r="A4" t="s">
        <v>172</v>
      </c>
    </row>
    <row r="5" spans="1:2" x14ac:dyDescent="0.2">
      <c r="A5" t="s">
        <v>199</v>
      </c>
      <c r="B5" t="s">
        <v>340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DBActionTest>
    <env>3</env>
    <database>ORE</database>
    <execOnSave>False</execOnSave>
    <askBeforeExecute>True</askBeforeExecute>
  </DBActionTest>
  <DBMapperemployee>
    <env>3</env>
    <database>pubs</database>
    <tableName>employee</tableName>
    <primKeysStr>1</primKeysStr>
    <insertIfMissing>True</insertIfMissing>
    <executeAdditionalProc/>
    <ignoreColumns/>
    <CUDFlags>False</CUDFlags>
    <execOnSave>False</execOnSave>
    <askBeforeExecute>True</askBeforeExecute>
  </DBMapperemployee>
  <DBMapper>
    <env>3</env>
    <database>pubs</database>
    <tableName>employee</tableName>
    <primKeysStr>1</primKeysStr>
    <insertIfMissing>True</insertIfMissing>
    <executeAdditionalProc/>
    <ignoreColumns>ignoredColumn</ignoreColumns>
    <CUDFlags>False</CUDFlags>
    <IgnoreDataErrors>False</IgnoreDataErrors>
    <execOnSave>False</execOnSave>
    <askBeforeExecute>True</askBeforeExecute>
  </DBMapper>
  <DBMapperDataRange>
    <env>3</env>
    <database>pubs</database>
    <tableName>employee</tableName>
    <primKeysStr>1</primKeysStr>
    <insertIfMissing>True</insertIfMissing>
    <executeAdditionalProc/>
    <ignoreColumns>job_desc</ignoreColumns>
    <CUDFlags>True</CUDFlags>
    <IgnoreDataErrors>False</IgnoreDataErrors>
    <execOnSave>False</execOnSave>
    <askBeforeExecute>True</askBeforeExecute>
  </DBMapperDataRange>
  <DBSeqnceTest>
    <execOnSave>True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DBSetQuery(Example3!$A$1):DBFsource43741663536713</seqStep>
    <seqStep>Refresh DBRowFetch(Example3!$N$5):DBFsource36ad7cc5b01247b7a90c31a3a9e9d80e</seqStep>
  </DBSeqnceTest>
</root>
</file>

<file path=customXml/itemProps1.xml><?xml version="1.0" encoding="utf-8"?>
<ds:datastoreItem xmlns:ds="http://schemas.openxmlformats.org/officeDocument/2006/customXml" ds:itemID="{439780C6-0A89-4954-B824-4C60C386A3B8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7</vt:i4>
      </vt:variant>
    </vt:vector>
  </HeadingPairs>
  <TitlesOfParts>
    <vt:vector size="12" baseType="lpstr">
      <vt:lpstr>Example1</vt:lpstr>
      <vt:lpstr>Example2</vt:lpstr>
      <vt:lpstr>Example3</vt:lpstr>
      <vt:lpstr>ExampleDBAction</vt:lpstr>
      <vt:lpstr>TestAutomation</vt:lpstr>
      <vt:lpstr>DBActionTest</vt:lpstr>
      <vt:lpstr>DBMapper</vt:lpstr>
      <vt:lpstr>DBMapperDataRange</vt:lpstr>
      <vt:lpstr>DBMapperemployee</vt:lpstr>
      <vt:lpstr>DBSeqnce</vt:lpstr>
      <vt:lpstr>employee</vt:lpstr>
      <vt:lpstr>jobsLU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2020-03-18T06:40:50Z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