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7E6684C6-6303-4BE8-9B8D-BCD54E623122}" xr6:coauthVersionLast="46" xr6:coauthVersionMax="46" xr10:uidLastSave="{00000000-0000-0000-0000-000000000000}"/>
  <bookViews>
    <workbookView xWindow="-120" yWindow="-120" windowWidth="29040" windowHeight="1779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Example2!$A$2:$H$49</definedName>
    <definedName name="DBFtarget43741663536713" hidden="1">Example3!$A$2:$I$49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Example2!$I$3:$I$49</definedName>
    <definedName name="DBMapper">Example2!$A$2:$I$49</definedName>
    <definedName name="DBMapperDataRange">Example3!$A$2:$I$49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A1" i="3"/>
  <c r="N5" i="3"/>
  <c r="L16" i="3"/>
  <c r="A1" i="2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<sst xmlns="http://schemas.openxmlformats.org/spreadsheetml/2006/main" count="942" uniqueCount="356">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</sst>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9" tableType="queryTable" totalsRowShown="0" headerRowDxfId="10" dataDxfId="9">
  <autoFilter ref="A2:I49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O36" sqref="O3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355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47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49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344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77</v>
      </c>
      <c r="G13" s="8" t="s">
        <v>0</v>
      </c>
      <c r="H13" s="2">
        <v>33741</v>
      </c>
      <c r="I13" s="10">
        <f t="shared" si="0"/>
        <v>87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/>
      <c r="D24" s="6" t="s">
        <v>93</v>
      </c>
      <c r="E24" s="6">
        <v>12</v>
      </c>
      <c r="F24" s="6">
        <v>77</v>
      </c>
      <c r="G24" s="8" t="s">
        <v>5</v>
      </c>
      <c r="H24" s="2">
        <v>32670</v>
      </c>
      <c r="I24" s="10">
        <f t="shared" si="0"/>
        <v>89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77</v>
      </c>
      <c r="G26" s="8" t="s">
        <v>0</v>
      </c>
      <c r="H26" s="2">
        <v>33078</v>
      </c>
      <c r="I26" s="10">
        <f t="shared" si="0"/>
        <v>91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/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/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/>
      <c r="D38" s="6" t="s">
        <v>44</v>
      </c>
      <c r="E38" s="6">
        <v>9</v>
      </c>
      <c r="F38" s="6">
        <v>77</v>
      </c>
      <c r="G38" s="8" t="s">
        <v>0</v>
      </c>
      <c r="H38" s="2">
        <v>33639</v>
      </c>
      <c r="I38" s="10">
        <f t="shared" si="0"/>
        <v>86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/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168</v>
      </c>
      <c r="B41" s="6" t="s">
        <v>169</v>
      </c>
      <c r="C41" s="2"/>
      <c r="D41" s="6" t="s">
        <v>167</v>
      </c>
      <c r="E41" s="6">
        <v>7</v>
      </c>
      <c r="F41" s="6">
        <v>170</v>
      </c>
      <c r="G41" s="8" t="s">
        <v>5</v>
      </c>
      <c r="H41" s="2">
        <v>40001</v>
      </c>
      <c r="I41" s="10">
        <f t="shared" si="0"/>
        <v>177</v>
      </c>
    </row>
    <row r="42" spans="1:9" x14ac:dyDescent="0.2">
      <c r="A42" s="6" t="s">
        <v>35</v>
      </c>
      <c r="B42" s="6" t="s">
        <v>34</v>
      </c>
      <c r="C42" s="2" t="s">
        <v>33</v>
      </c>
      <c r="D42" s="6" t="s">
        <v>32</v>
      </c>
      <c r="E42" s="6">
        <v>8</v>
      </c>
      <c r="F42" s="6">
        <v>175</v>
      </c>
      <c r="G42" s="8" t="s">
        <v>9</v>
      </c>
      <c r="H42" s="2">
        <v>34149</v>
      </c>
      <c r="I42" s="10">
        <f t="shared" si="0"/>
        <v>183</v>
      </c>
    </row>
    <row r="43" spans="1:9" x14ac:dyDescent="0.2">
      <c r="A43" s="6" t="s">
        <v>31</v>
      </c>
      <c r="B43" s="6" t="s">
        <v>30</v>
      </c>
      <c r="C43" s="2" t="s">
        <v>29</v>
      </c>
      <c r="D43" s="6" t="s">
        <v>28</v>
      </c>
      <c r="E43" s="6">
        <v>13</v>
      </c>
      <c r="F43" s="6">
        <v>77</v>
      </c>
      <c r="G43" s="8" t="s">
        <v>5</v>
      </c>
      <c r="H43" s="2">
        <v>33792</v>
      </c>
      <c r="I43" s="10">
        <f t="shared" si="0"/>
        <v>90</v>
      </c>
    </row>
    <row r="44" spans="1:9" x14ac:dyDescent="0.2">
      <c r="A44" s="6" t="s">
        <v>27</v>
      </c>
      <c r="B44" s="6" t="s">
        <v>26</v>
      </c>
      <c r="C44" s="2" t="s">
        <v>22</v>
      </c>
      <c r="D44" s="6" t="s">
        <v>25</v>
      </c>
      <c r="E44" s="6">
        <v>9</v>
      </c>
      <c r="F44" s="6">
        <v>78</v>
      </c>
      <c r="G44" s="8" t="s">
        <v>5</v>
      </c>
      <c r="H44" s="2">
        <v>32415</v>
      </c>
      <c r="I44" s="10">
        <f t="shared" si="0"/>
        <v>87</v>
      </c>
    </row>
    <row r="45" spans="1:9" x14ac:dyDescent="0.2">
      <c r="A45" s="6" t="s">
        <v>24</v>
      </c>
      <c r="B45" s="6" t="s">
        <v>23</v>
      </c>
      <c r="C45" s="2" t="s">
        <v>22</v>
      </c>
      <c r="D45" s="6" t="s">
        <v>21</v>
      </c>
      <c r="E45" s="6">
        <v>12</v>
      </c>
      <c r="F45" s="6">
        <v>100</v>
      </c>
      <c r="G45" s="8" t="s">
        <v>9</v>
      </c>
      <c r="H45" s="2">
        <v>32466</v>
      </c>
      <c r="I45" s="10">
        <f t="shared" si="0"/>
        <v>112</v>
      </c>
    </row>
    <row r="46" spans="1:9" x14ac:dyDescent="0.2">
      <c r="A46" s="6" t="s">
        <v>20</v>
      </c>
      <c r="B46" s="6" t="s">
        <v>19</v>
      </c>
      <c r="C46" s="2" t="s">
        <v>18</v>
      </c>
      <c r="D46" s="6" t="s">
        <v>17</v>
      </c>
      <c r="E46" s="6">
        <v>10</v>
      </c>
      <c r="F46" s="6">
        <v>165</v>
      </c>
      <c r="G46" s="8" t="s">
        <v>9</v>
      </c>
      <c r="H46" s="2">
        <v>32976</v>
      </c>
      <c r="I46" s="10">
        <f t="shared" si="0"/>
        <v>175</v>
      </c>
    </row>
    <row r="47" spans="1:9" x14ac:dyDescent="0.2">
      <c r="A47" s="6" t="s">
        <v>16</v>
      </c>
      <c r="B47" s="6" t="s">
        <v>15</v>
      </c>
      <c r="C47" s="2" t="s">
        <v>2</v>
      </c>
      <c r="D47" s="6" t="s">
        <v>14</v>
      </c>
      <c r="E47" s="6">
        <v>13</v>
      </c>
      <c r="F47" s="6">
        <v>77</v>
      </c>
      <c r="G47" s="8" t="s">
        <v>0</v>
      </c>
      <c r="H47" s="2">
        <v>39378.009108796294</v>
      </c>
      <c r="I47" s="10">
        <f t="shared" si="0"/>
        <v>90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8" t="s">
        <v>9</v>
      </c>
      <c r="H48" s="2">
        <v>32364</v>
      </c>
      <c r="I48" s="10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77</v>
      </c>
      <c r="G49" s="6" t="s">
        <v>0</v>
      </c>
      <c r="H49" s="2">
        <v>32874</v>
      </c>
      <c r="I49" s="10">
        <f t="shared" si="0"/>
        <v>88</v>
      </c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9"/>
  <sheetViews>
    <sheetView workbookViewId="0">
      <selection activeCell="K36" sqref="K3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77</v>
      </c>
      <c r="H13" s="12" t="s">
        <v>0</v>
      </c>
      <c r="I13" s="14">
        <v>33741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95</v>
      </c>
      <c r="B24" s="12" t="s">
        <v>94</v>
      </c>
      <c r="C24" s="12"/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77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77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81</v>
      </c>
      <c r="B28" s="12" t="s">
        <v>80</v>
      </c>
      <c r="C28" s="12"/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/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/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77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/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168</v>
      </c>
      <c r="B41" s="12" t="s">
        <v>169</v>
      </c>
      <c r="C41" s="12"/>
      <c r="D41" s="12" t="s">
        <v>167</v>
      </c>
      <c r="E41" s="13" t="s">
        <v>183</v>
      </c>
      <c r="F41" s="12">
        <f>VLOOKUP(TestTable[[#This Row],[job_desc]],jobsLU,2,FALSE)</f>
        <v>7</v>
      </c>
      <c r="G41" s="12">
        <v>170</v>
      </c>
      <c r="H41" s="12" t="s">
        <v>5</v>
      </c>
      <c r="I41" s="14">
        <v>40001</v>
      </c>
    </row>
    <row r="42" spans="1:9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2">
        <f>VLOOKUP(TestTable[[#This Row],[job_desc]],jobsLU,2,FALSE)</f>
        <v>8</v>
      </c>
      <c r="G42" s="12">
        <v>175</v>
      </c>
      <c r="H42" s="12" t="s">
        <v>9</v>
      </c>
      <c r="I42" s="14">
        <v>34149</v>
      </c>
    </row>
    <row r="43" spans="1:9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2">
        <f>VLOOKUP(TestTable[[#This Row],[job_desc]],jobsLU,2,FALSE)</f>
        <v>13</v>
      </c>
      <c r="G43" s="12">
        <v>77</v>
      </c>
      <c r="H43" s="12" t="s">
        <v>5</v>
      </c>
      <c r="I43" s="14">
        <v>33792</v>
      </c>
    </row>
    <row r="44" spans="1:9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2">
        <f>VLOOKUP(TestTable[[#This Row],[job_desc]],jobsLU,2,FALSE)</f>
        <v>9</v>
      </c>
      <c r="G44" s="12">
        <v>78</v>
      </c>
      <c r="H44" s="12" t="s">
        <v>5</v>
      </c>
      <c r="I44" s="14">
        <v>32415</v>
      </c>
    </row>
    <row r="45" spans="1:9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2">
        <f>VLOOKUP(TestTable[[#This Row],[job_desc]],jobsLU,2,FALSE)</f>
        <v>12</v>
      </c>
      <c r="G45" s="12">
        <v>100</v>
      </c>
      <c r="H45" s="12" t="s">
        <v>9</v>
      </c>
      <c r="I45" s="14">
        <v>32466</v>
      </c>
    </row>
    <row r="46" spans="1:9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2">
        <f>VLOOKUP(TestTable[[#This Row],[job_desc]],jobsLU,2,FALSE)</f>
        <v>10</v>
      </c>
      <c r="G46" s="12">
        <v>165</v>
      </c>
      <c r="H46" s="12" t="s">
        <v>9</v>
      </c>
      <c r="I46" s="14">
        <v>32976</v>
      </c>
    </row>
    <row r="47" spans="1:9" x14ac:dyDescent="0.2">
      <c r="A47" s="12" t="s">
        <v>16</v>
      </c>
      <c r="B47" s="12" t="s">
        <v>15</v>
      </c>
      <c r="C47" s="12" t="s">
        <v>2</v>
      </c>
      <c r="D47" s="12" t="s">
        <v>14</v>
      </c>
      <c r="E47" s="13" t="s">
        <v>189</v>
      </c>
      <c r="F47" s="12"/>
      <c r="G47" s="12">
        <v>77</v>
      </c>
      <c r="H47" s="12" t="s">
        <v>0</v>
      </c>
      <c r="I47" s="14">
        <v>39378.009108796294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6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6">
        <v>7</v>
      </c>
      <c r="G49" s="12">
        <v>77</v>
      </c>
      <c r="H49" s="12" t="s">
        <v>0</v>
      </c>
      <c r="I49" s="14">
        <v>32874</v>
      </c>
    </row>
  </sheetData>
  <dataConsolidate/>
  <dataValidations count="1">
    <dataValidation type="list" allowBlank="1" showInputMessage="1" showErrorMessage="1" sqref="E3:E49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9"/>
  <sheetViews>
    <sheetView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345</v>
      </c>
      <c r="B1" t="s">
        <v>346</v>
      </c>
    </row>
    <row r="2" spans="1:5" x14ac:dyDescent="0.2">
      <c r="B2" t="s">
        <v>347</v>
      </c>
    </row>
    <row r="3" spans="1:5" x14ac:dyDescent="0.2">
      <c r="B3" t="s">
        <v>348</v>
      </c>
    </row>
    <row r="4" spans="1:5" x14ac:dyDescent="0.2">
      <c r="E4" t="s">
        <v>349</v>
      </c>
    </row>
    <row r="5" spans="1:5" x14ac:dyDescent="0.2">
      <c r="E5" t="s">
        <v>350</v>
      </c>
    </row>
    <row r="6" spans="1:5" x14ac:dyDescent="0.2">
      <c r="E6" t="s">
        <v>351</v>
      </c>
    </row>
    <row r="8" spans="1:5" x14ac:dyDescent="0.2">
      <c r="E8" t="s">
        <v>352</v>
      </c>
    </row>
    <row r="9" spans="1:5" x14ac:dyDescent="0.2">
      <c r="E9" t="s">
        <v>354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353</v>
      </c>
      <c r="G2" s="15" t="b">
        <v>0</v>
      </c>
    </row>
    <row r="3" spans="1:7" x14ac:dyDescent="0.2">
      <c r="A3" t="s">
        <v>338</v>
      </c>
    </row>
    <row r="4" spans="1:7" x14ac:dyDescent="0.2">
      <c r="A4" t="s">
        <v>172</v>
      </c>
    </row>
    <row r="5" spans="1:7" x14ac:dyDescent="0.2">
      <c r="A5" t="s">
        <v>198</v>
      </c>
      <c r="B5" t="s">
        <v>339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>Really execute DB Mapper DBMapper?</confirmText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</vt:i4>
      </vt:variant>
    </vt:vector>
  </HeadingPairs>
  <TitlesOfParts>
    <vt:vector size="15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DBMappertest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2021-02-17T21:51:33Z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