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68E85ED3-EFA6-43E8-AB22-064EA8A3FF93}" xr6:coauthVersionLast="45" xr6:coauthVersionMax="45" xr10:uidLastSave="{00000000-0000-0000-0000-000000000000}"/>
  <bookViews>
    <workbookView xWindow="-120" yWindow="-120" windowWidth="29040" windowHeight="17790" activeTab="3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Example2!$A$2:$H$47</definedName>
    <definedName name="DBFtarget43741663536713" hidden="1">Example3!$A$2:$I$47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Example2!$I$3:$I$47</definedName>
    <definedName name="DBMapper">OFFSET(Example2!$A$2,0,0,COUNTA(Example2!$A:$A)-1,9)</definedName>
    <definedName name="DBMapperDataRange">Example3!$A$2:$I$47</definedName>
    <definedName name="DBMapperemployee">Example1!$A$1:$H$48</definedName>
    <definedName name="DBMappertest">Example4!$A$1:$B$3</definedName>
    <definedName name="DBSeqnce">ExampleDBAction!$A$3</definedName>
    <definedName name="employee">Example1!$A$1:$H$47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A1" i="3"/>
  <c r="A1" i="2"/>
  <c r="N5" i="3"/>
  <c r="L16" i="3"/>
  <c r="F45" i="3" l="1"/>
  <c r="F4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<sst xmlns="http://schemas.openxmlformats.org/spreadsheetml/2006/main" count="931" uniqueCount="357">
  <si>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</si>
  <si>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</si>
  <si>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</si>
  <si>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</si>
  <si>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</si>
  <si>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</si>
  <si>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</si>
  <si>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</si>
  <si>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</si>
  <si>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</si>
  <si>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</si>
  <si>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</si>
  <si>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</si>
  <si>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</si>
  <si>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</si>
  <si>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</si>
  <si>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</si>
  <si>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</si>
  <si>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</si>
  <si>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</si>
  <si>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</si>
  <si>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</si>
  <si>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</si>
  <si>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</si>
  <si>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</si>
  <si>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</si>
  <si>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</si>
  <si>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</si>
  <si>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</si>
  <si>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</si>
  <si>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</si>
  <si>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</si>
  <si>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</si>
  <si>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</si>
  <si>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</si>
  <si>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</si>
  <si>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</si>
  <si>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</si>
  <si>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</si>
  <si>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</si>
  <si>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</si>
  <si>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</si>
  <si>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</si>
  <si>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</si>
  <si>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</si>
  <si>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</si>
  <si>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</si>
  <si>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</si>
  <si>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</si>
  <si>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</si>
  <si>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</si>
  <si>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</si>
  <si>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</si>
  <si>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</si>
  <si>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</si>
  <si>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</si>
  <si>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</si>
  <si>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</si>
  <si>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</si>
  <si>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</si>
  <si>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</si>
  <si>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</si>
  <si>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</si>
  <si>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</si>
  <si>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</si>
  <si>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</si>
  <si>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</si>
  <si>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</si>
  <si>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</si>
  <si>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</si>
  <si>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</si>
  <si>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</si>
  <si>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</si>
  <si>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</si>
  <si>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</si>
  <si>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</si>
  <si>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</si>
  <si>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</si>
  <si>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</si>
  <si>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</si>
  <si>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</si>
  <si>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</si>
  <si>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</si>
  <si>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</si>
  <si>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</si>
  <si>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</si>
  <si>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</si>
  <si>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</si>
  <si>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</si>
  <si>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</si>
  <si>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</si>
  <si>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</si>
  <si>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</si>
  <si>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</si>
  <si>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</si>
  <si>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</si>
  <si>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</si>
  <si>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</si>
  <si>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</si>
  <si>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</si>
  <si>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</si>
  <si>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</si>
  <si>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</si>
  <si>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</si>
  <si>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</si>
  <si>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</si>
  <si>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</si>
  <si>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</si>
  <si>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</si>
  <si>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</si>
  <si>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</si>
  <si>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</si>
  <si>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</si>
  <si>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</si>
  <si>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</si>
  <si>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</si>
  <si>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</si>
  <si>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</si>
  <si>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</si>
  <si>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</si>
  <si>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</si>
  <si>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</si>
  <si>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</si>
  <si>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</si>
  <si>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</si>
  <si>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</si>
  <si>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</si>
  <si>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</si>
  <si>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</si>
  <si>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</si>
  <si>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</si>
  <si>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</si>
  <si>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</si>
  <si>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</si>
  <si>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</si>
  <si>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</si>
  <si>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</si>
  <si>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</si>
  <si>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</si>
  <si>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</si>
  <si>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</si>
  <si>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</si>
  <si>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</si>
  <si>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</si>
  <si>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</si>
  <si>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</si>
  <si>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</si>
  <si>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</si>
  <si>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</si>
  <si>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</si>
  <si>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</si>
  <si>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</si>
  <si>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</si>
  <si>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</si>
  <si>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</si>
  <si>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</si>
  <si>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</si>
  <si>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</si>
  <si>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</si>
  <si>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</si>
  <si>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</si>
  <si>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</si>
  <si>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</si>
  <si>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</si>
  <si>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</si>
  <si>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</si>
  <si>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</si>
  <si>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</si>
  <si>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</si>
  <si>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</si>
  <si>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</si>
  <si>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</si>
  <si>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</si>
  <si>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</si>
  <si>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</si>
  <si>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</si>
  <si>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</si>
  <si>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</si>
  <si>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</si>
  <si>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</si>
  <si>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</si>
  <si>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</si>
  <si>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</si>
  <si>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</si>
  <si>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</si>
  <si>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</si>
  <si>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</si>
  <si>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</si>
  <si>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</si>
  <si>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</si>
  <si>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</si>
  <si>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</si>
  <si>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</si>
  <si>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</si>
  <si>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</si>
  <si>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</si>
  <si>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</si>
  <si>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</si>
  <si>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</si>
  <si>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</si>
  <si>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</si>
  <si>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</si>
  <si>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</si>
  <si>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</si>
  <si>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</si>
  <si>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</si>
  <si>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</si>
  <si>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</si>
  <si>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</si>
  <si>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</si>
  <si>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</si>
  <si>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</si>
  <si>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</si>
  <si>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</si>
  <si>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</si>
  <si>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</si>
  <si>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</si>
  <si>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</si>
  <si>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</si>
  <si>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</si>
  <si>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</si>
  <si>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</si>
  <si>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</si>
  <si>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</si>
  <si>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</si>
  <si>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</si>
  <si>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</si>
  <si>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</si>
  <si>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</si>
  <si>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</si>
  <si>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</si>
  <si>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</si>
  <si>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</si>
  <si>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</si>
  <si>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</si>
  <si>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</si>
  <si>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</si>
  <si>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</si>
  <si>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</si>
  <si>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</si>
  <si>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</si>
  <si>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</si>
  <si>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</si>
  <si>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</si>
  <si>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</si>
  <si>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</si>
  <si>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</si>
  <si>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</si>
  <si>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</si>
  <si>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</si>
  <si>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</si>
  <si>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</si>
  <si>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</si>
  <si>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</si>
  <si>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</si>
  <si>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</si>
  <si>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</si>
  <si>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</si>
  <si>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</si>
  <si>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</si>
  <si>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</si>
  <si>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</si>
  <si>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</si>
  <si>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</si>
  <si>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</si>
  <si>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</si>
  <si>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</si>
  <si>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</si>
  <si>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</si>
  <si>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</si>
  <si>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</si>
  <si>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</si>
  <si>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</si>
  <si>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</si>
  <si>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</si>
  <si>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</si>
  <si>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</si>
  <si>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</si>
  <si>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</si>
  <si>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</si>
  <si>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</si>
  <si>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</si>
  <si>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</si>
  <si>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</si>
  <si>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</si>
  <si>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</si>
  <si>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</si>
  <si>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</si>
  <si>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</si>
  <si>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</si>
  <si>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</si>
  <si>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</si>
  <si>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</si>
  <si>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</si>
  <si>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</si>
  <si>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</si>
  <si>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</si>
  <si>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</si>
  <si>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</si>
  <si>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</si>
  <si>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</si>
  <si>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</si>
  <si>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</si>
  <si>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</si>
  <si>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</si>
  <si>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</si>
  <si>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</si>
  <si>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</si>
  <si>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</si>
  <si>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</si>
  <si>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</si>
  <si>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</si>
  <si>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</si>
  <si>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</si>
  <si>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</si>
  <si>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</si>
  <si>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</si>
  <si>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</si>
  <si>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</si>
  <si>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</si>
  <si>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</si>
  <si>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</si>
  <si>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</si>
  <si>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</si>
  <si>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</si>
  <si>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</si>
  <si>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</si>
  <si>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</si>
  <si>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</si>
  <si>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</si>
  <si>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</si>
  <si>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</si>
  <si>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</si>
  <si>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</si>
  <si>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</si>
  <si>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</si>
  <si>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</si>
  <si>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</si>
  <si>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</si>
  <si>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</si>
  <si>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</si>
  <si>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</si>
  <si>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</si>
  <si>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</si>
  <si>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&lt;- data range is defined with a named offset formula</t>
  </si>
  <si>
    <t/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</si>
  <si>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</si>
  <si>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</si>
  <si>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</si>
  <si>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</si>
  <si>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</si>
  <si>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</si>
  <si>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</si>
  <si>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</si>
  <si>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</si>
  <si>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Coward</t>
  </si>
  <si>
    <t>Either the DB created testIDs are then entered manually here (which makes no real sense) or you add a  DBListfetch or DBSetQuery function.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</si>
</sst>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7" tableType="queryTable" totalsRowShown="0" headerRowDxfId="10" dataDxfId="9">
  <autoFilter ref="A2:I47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5" sqref="D2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H35" sqref="H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47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  <c r="K10" s="4" t="s">
        <v>344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77</v>
      </c>
      <c r="G13" s="8" t="s">
        <v>0</v>
      </c>
      <c r="H13" s="2">
        <v>33741</v>
      </c>
      <c r="I13" s="10">
        <f t="shared" si="0"/>
        <v>87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8" t="s">
        <v>0</v>
      </c>
      <c r="H14" s="2">
        <v>34200</v>
      </c>
      <c r="I14" s="10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8" t="s">
        <v>176</v>
      </c>
      <c r="H15" s="2">
        <v>32619</v>
      </c>
      <c r="I15" s="10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8" t="s">
        <v>9</v>
      </c>
      <c r="H16" s="2">
        <v>34098</v>
      </c>
      <c r="I16" s="10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8" t="s">
        <v>5</v>
      </c>
      <c r="H17" s="2">
        <v>40001</v>
      </c>
      <c r="I17" s="10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8" t="s">
        <v>176</v>
      </c>
      <c r="H18" s="2">
        <v>34404</v>
      </c>
      <c r="I18" s="10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8" t="s">
        <v>9</v>
      </c>
      <c r="H19" s="2">
        <v>33894</v>
      </c>
      <c r="I19" s="10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8" t="s">
        <v>9</v>
      </c>
      <c r="H20" s="2">
        <v>34455</v>
      </c>
      <c r="I20" s="10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8" t="s">
        <v>176</v>
      </c>
      <c r="H21" s="2">
        <v>34302</v>
      </c>
      <c r="I21" s="10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8" t="s">
        <v>174</v>
      </c>
      <c r="H22" s="2">
        <v>33384</v>
      </c>
      <c r="I22" s="10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8" t="s">
        <v>5</v>
      </c>
      <c r="H23" s="2">
        <v>33690</v>
      </c>
      <c r="I23" s="10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345</v>
      </c>
      <c r="D24" s="6" t="s">
        <v>93</v>
      </c>
      <c r="E24" s="6">
        <v>12</v>
      </c>
      <c r="F24" s="6">
        <v>77</v>
      </c>
      <c r="G24" s="8" t="s">
        <v>5</v>
      </c>
      <c r="H24" s="2">
        <v>32670</v>
      </c>
      <c r="I24" s="10">
        <f t="shared" si="0"/>
        <v>89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8" t="s">
        <v>9</v>
      </c>
      <c r="H25" s="2">
        <v>33027</v>
      </c>
      <c r="I25" s="10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77</v>
      </c>
      <c r="G26" s="8" t="s">
        <v>0</v>
      </c>
      <c r="H26" s="2">
        <v>33078</v>
      </c>
      <c r="I26" s="10">
        <f t="shared" si="0"/>
        <v>91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8" t="s">
        <v>176</v>
      </c>
      <c r="H27" s="2">
        <v>32721</v>
      </c>
      <c r="I27" s="10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345</v>
      </c>
      <c r="D28" s="6" t="s">
        <v>79</v>
      </c>
      <c r="E28" s="6">
        <v>11</v>
      </c>
      <c r="F28" s="6">
        <v>150</v>
      </c>
      <c r="G28" s="8" t="s">
        <v>9</v>
      </c>
      <c r="H28" s="2">
        <v>33486</v>
      </c>
      <c r="I28" s="10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8" t="s">
        <v>177</v>
      </c>
      <c r="H29" s="2">
        <v>34251</v>
      </c>
      <c r="I29" s="10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8" t="s">
        <v>176</v>
      </c>
      <c r="H30" s="2">
        <v>34047</v>
      </c>
      <c r="I30" s="10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8" t="s">
        <v>9</v>
      </c>
      <c r="H31" s="2">
        <v>32313</v>
      </c>
      <c r="I31" s="10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8" t="s">
        <v>5</v>
      </c>
      <c r="H32" s="2">
        <v>33333</v>
      </c>
      <c r="I32" s="10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8" t="s">
        <v>5</v>
      </c>
      <c r="H33" s="2">
        <v>33945</v>
      </c>
      <c r="I33" s="10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8" t="s">
        <v>5</v>
      </c>
      <c r="H34" s="2">
        <v>34353</v>
      </c>
      <c r="I34" s="10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345</v>
      </c>
      <c r="D35" s="6" t="s">
        <v>55</v>
      </c>
      <c r="E35" s="6">
        <v>8</v>
      </c>
      <c r="F35" s="6">
        <v>101</v>
      </c>
      <c r="G35" s="8" t="s">
        <v>176</v>
      </c>
      <c r="H35" s="2">
        <v>32517</v>
      </c>
      <c r="I35" s="10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8" t="s">
        <v>178</v>
      </c>
      <c r="H36" s="2">
        <v>32568</v>
      </c>
      <c r="I36" s="10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8" t="s">
        <v>0</v>
      </c>
      <c r="H37" s="2">
        <v>33996</v>
      </c>
      <c r="I37" s="10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345</v>
      </c>
      <c r="D38" s="6" t="s">
        <v>44</v>
      </c>
      <c r="E38" s="6">
        <v>9</v>
      </c>
      <c r="F38" s="6">
        <v>77</v>
      </c>
      <c r="G38" s="8" t="s">
        <v>0</v>
      </c>
      <c r="H38" s="2">
        <v>33639</v>
      </c>
      <c r="I38" s="10">
        <f t="shared" si="0"/>
        <v>86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8" t="s">
        <v>5</v>
      </c>
      <c r="H39" s="2">
        <v>33588</v>
      </c>
      <c r="I39" s="10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345</v>
      </c>
      <c r="D40" s="6" t="s">
        <v>36</v>
      </c>
      <c r="E40" s="6">
        <v>6</v>
      </c>
      <c r="F40" s="6">
        <v>152</v>
      </c>
      <c r="G40" s="8" t="s">
        <v>176</v>
      </c>
      <c r="H40" s="2">
        <v>32925</v>
      </c>
      <c r="I40" s="10">
        <f t="shared" si="0"/>
        <v>158</v>
      </c>
    </row>
    <row r="41" spans="1:9" x14ac:dyDescent="0.2">
      <c r="A41" s="6" t="s">
        <v>35</v>
      </c>
      <c r="B41" s="6" t="s">
        <v>34</v>
      </c>
      <c r="C41" s="2" t="s">
        <v>33</v>
      </c>
      <c r="D41" s="6" t="s">
        <v>32</v>
      </c>
      <c r="E41" s="6">
        <v>8</v>
      </c>
      <c r="F41" s="6">
        <v>175</v>
      </c>
      <c r="G41" s="8" t="s">
        <v>9</v>
      </c>
      <c r="H41" s="2">
        <v>34149</v>
      </c>
      <c r="I41" s="10">
        <f t="shared" si="0"/>
        <v>183</v>
      </c>
    </row>
    <row r="42" spans="1:9" x14ac:dyDescent="0.2">
      <c r="A42" s="6" t="s">
        <v>31</v>
      </c>
      <c r="B42" s="6" t="s">
        <v>30</v>
      </c>
      <c r="C42" s="2" t="s">
        <v>29</v>
      </c>
      <c r="D42" s="6" t="s">
        <v>28</v>
      </c>
      <c r="E42" s="6">
        <v>13</v>
      </c>
      <c r="F42" s="6">
        <v>77</v>
      </c>
      <c r="G42" s="8" t="s">
        <v>5</v>
      </c>
      <c r="H42" s="2">
        <v>33792</v>
      </c>
      <c r="I42" s="10">
        <f t="shared" si="0"/>
        <v>90</v>
      </c>
    </row>
    <row r="43" spans="1:9" x14ac:dyDescent="0.2">
      <c r="A43" s="6" t="s">
        <v>27</v>
      </c>
      <c r="B43" s="6" t="s">
        <v>26</v>
      </c>
      <c r="C43" s="2" t="s">
        <v>22</v>
      </c>
      <c r="D43" s="6" t="s">
        <v>25</v>
      </c>
      <c r="E43" s="6">
        <v>9</v>
      </c>
      <c r="F43" s="6">
        <v>78</v>
      </c>
      <c r="G43" s="8" t="s">
        <v>5</v>
      </c>
      <c r="H43" s="2">
        <v>32415</v>
      </c>
      <c r="I43" s="10">
        <f t="shared" si="0"/>
        <v>87</v>
      </c>
    </row>
    <row r="44" spans="1:9" x14ac:dyDescent="0.2">
      <c r="A44" s="6" t="s">
        <v>24</v>
      </c>
      <c r="B44" s="6" t="s">
        <v>355</v>
      </c>
      <c r="C44" s="2" t="s">
        <v>22</v>
      </c>
      <c r="D44" s="6" t="s">
        <v>21</v>
      </c>
      <c r="E44" s="6">
        <v>12</v>
      </c>
      <c r="F44" s="6">
        <v>100</v>
      </c>
      <c r="G44" s="8" t="s">
        <v>9</v>
      </c>
      <c r="H44" s="2">
        <v>32466</v>
      </c>
      <c r="I44" s="10">
        <f t="shared" si="0"/>
        <v>112</v>
      </c>
    </row>
    <row r="45" spans="1:9" x14ac:dyDescent="0.2">
      <c r="A45" s="6" t="s">
        <v>20</v>
      </c>
      <c r="B45" s="6" t="s">
        <v>19</v>
      </c>
      <c r="C45" s="2" t="s">
        <v>18</v>
      </c>
      <c r="D45" s="6" t="s">
        <v>17</v>
      </c>
      <c r="E45" s="6">
        <v>10</v>
      </c>
      <c r="F45" s="6">
        <v>165</v>
      </c>
      <c r="G45" s="8" t="s">
        <v>9</v>
      </c>
      <c r="H45" s="2">
        <v>32976</v>
      </c>
      <c r="I45" s="10">
        <f t="shared" si="0"/>
        <v>175</v>
      </c>
    </row>
    <row r="46" spans="1:9" x14ac:dyDescent="0.2">
      <c r="A46" s="6" t="s">
        <v>13</v>
      </c>
      <c r="B46" s="6" t="s">
        <v>12</v>
      </c>
      <c r="C46" s="2" t="s">
        <v>11</v>
      </c>
      <c r="D46" s="6" t="s">
        <v>10</v>
      </c>
      <c r="E46" s="6">
        <v>9</v>
      </c>
      <c r="F46" s="6">
        <v>170</v>
      </c>
      <c r="G46" s="8" t="s">
        <v>9</v>
      </c>
      <c r="H46" s="2">
        <v>32364</v>
      </c>
      <c r="I46" s="10">
        <f t="shared" si="0"/>
        <v>179</v>
      </c>
    </row>
    <row r="47" spans="1:9" x14ac:dyDescent="0.2">
      <c r="A47" s="6" t="s">
        <v>4</v>
      </c>
      <c r="B47" s="6" t="s">
        <v>3</v>
      </c>
      <c r="C47" s="2" t="s">
        <v>2</v>
      </c>
      <c r="D47" s="6" t="s">
        <v>1</v>
      </c>
      <c r="E47" s="6">
        <v>1</v>
      </c>
      <c r="F47" s="6">
        <v>10</v>
      </c>
      <c r="G47" s="8" t="s">
        <v>0</v>
      </c>
      <c r="H47" s="2">
        <v>32874</v>
      </c>
      <c r="I47" s="10">
        <f t="shared" si="0"/>
        <v>11</v>
      </c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7"/>
  <sheetViews>
    <sheetView workbookViewId="0">
      <selection activeCell="E35" sqref="E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77</v>
      </c>
      <c r="H13" s="12" t="s">
        <v>0</v>
      </c>
      <c r="I13" s="14">
        <v>33741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jobs","",jobsLU)</f>
        <v>Env:MSSQL,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95</v>
      </c>
      <c r="B24" s="12" t="s">
        <v>94</v>
      </c>
      <c r="C24" s="12" t="s">
        <v>345</v>
      </c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77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77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81</v>
      </c>
      <c r="B28" s="12" t="s">
        <v>80</v>
      </c>
      <c r="C28" s="12" t="s">
        <v>345</v>
      </c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9" x14ac:dyDescent="0.2">
      <c r="A35" s="12" t="s">
        <v>57</v>
      </c>
      <c r="B35" s="12" t="s">
        <v>56</v>
      </c>
      <c r="C35" s="12" t="s">
        <v>345</v>
      </c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9" x14ac:dyDescent="0.2">
      <c r="A38" s="12" t="s">
        <v>46</v>
      </c>
      <c r="B38" s="12" t="s">
        <v>45</v>
      </c>
      <c r="C38" s="12" t="s">
        <v>345</v>
      </c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77</v>
      </c>
      <c r="H38" s="12" t="s">
        <v>0</v>
      </c>
      <c r="I38" s="14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9" x14ac:dyDescent="0.2">
      <c r="A40" s="12" t="s">
        <v>39</v>
      </c>
      <c r="B40" s="12" t="s">
        <v>38</v>
      </c>
      <c r="C40" s="12" t="s">
        <v>345</v>
      </c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9" x14ac:dyDescent="0.2">
      <c r="A41" s="12" t="s">
        <v>35</v>
      </c>
      <c r="B41" s="12" t="s">
        <v>34</v>
      </c>
      <c r="C41" s="12" t="s">
        <v>33</v>
      </c>
      <c r="D41" s="12" t="s">
        <v>32</v>
      </c>
      <c r="E41" s="13" t="s">
        <v>184</v>
      </c>
      <c r="F41" s="12">
        <f>VLOOKUP(TestTable[[#This Row],[job_desc]],jobsLU,2,FALSE)</f>
        <v>8</v>
      </c>
      <c r="G41" s="12">
        <v>175</v>
      </c>
      <c r="H41" s="12" t="s">
        <v>9</v>
      </c>
      <c r="I41" s="14">
        <v>34149</v>
      </c>
    </row>
    <row r="42" spans="1:9" x14ac:dyDescent="0.2">
      <c r="A42" s="12" t="s">
        <v>31</v>
      </c>
      <c r="B42" s="12" t="s">
        <v>30</v>
      </c>
      <c r="C42" s="12" t="s">
        <v>29</v>
      </c>
      <c r="D42" s="12" t="s">
        <v>28</v>
      </c>
      <c r="E42" s="13" t="s">
        <v>189</v>
      </c>
      <c r="F42" s="12">
        <f>VLOOKUP(TestTable[[#This Row],[job_desc]],jobsLU,2,FALSE)</f>
        <v>13</v>
      </c>
      <c r="G42" s="12">
        <v>77</v>
      </c>
      <c r="H42" s="12" t="s">
        <v>5</v>
      </c>
      <c r="I42" s="14">
        <v>33792</v>
      </c>
    </row>
    <row r="43" spans="1:9" x14ac:dyDescent="0.2">
      <c r="A43" s="12" t="s">
        <v>27</v>
      </c>
      <c r="B43" s="12" t="s">
        <v>26</v>
      </c>
      <c r="C43" s="12" t="s">
        <v>22</v>
      </c>
      <c r="D43" s="12" t="s">
        <v>25</v>
      </c>
      <c r="E43" s="13" t="s">
        <v>185</v>
      </c>
      <c r="F43" s="12">
        <f>VLOOKUP(TestTable[[#This Row],[job_desc]],jobsLU,2,FALSE)</f>
        <v>9</v>
      </c>
      <c r="G43" s="12">
        <v>78</v>
      </c>
      <c r="H43" s="12" t="s">
        <v>5</v>
      </c>
      <c r="I43" s="14">
        <v>32415</v>
      </c>
    </row>
    <row r="44" spans="1:9" x14ac:dyDescent="0.2">
      <c r="A44" s="12" t="s">
        <v>24</v>
      </c>
      <c r="B44" s="12" t="s">
        <v>355</v>
      </c>
      <c r="C44" s="12" t="s">
        <v>22</v>
      </c>
      <c r="D44" s="12" t="s">
        <v>21</v>
      </c>
      <c r="E44" s="13" t="s">
        <v>188</v>
      </c>
      <c r="F44" s="12">
        <f>VLOOKUP(TestTable[[#This Row],[job_desc]],jobsLU,2,FALSE)</f>
        <v>12</v>
      </c>
      <c r="G44" s="12">
        <v>100</v>
      </c>
      <c r="H44" s="12" t="s">
        <v>9</v>
      </c>
      <c r="I44" s="14">
        <v>32466</v>
      </c>
    </row>
    <row r="45" spans="1:9" x14ac:dyDescent="0.2">
      <c r="A45" s="12" t="s">
        <v>20</v>
      </c>
      <c r="B45" s="12" t="s">
        <v>19</v>
      </c>
      <c r="C45" s="12" t="s">
        <v>18</v>
      </c>
      <c r="D45" s="12" t="s">
        <v>17</v>
      </c>
      <c r="E45" s="13" t="s">
        <v>186</v>
      </c>
      <c r="F45" s="12">
        <f>VLOOKUP(TestTable[[#This Row],[job_desc]],jobsLU,2,FALSE)</f>
        <v>10</v>
      </c>
      <c r="G45" s="12">
        <v>165</v>
      </c>
      <c r="H45" s="12" t="s">
        <v>9</v>
      </c>
      <c r="I45" s="14">
        <v>32976</v>
      </c>
    </row>
    <row r="46" spans="1:9" x14ac:dyDescent="0.2">
      <c r="A46" s="12" t="s">
        <v>13</v>
      </c>
      <c r="B46" s="12" t="s">
        <v>12</v>
      </c>
      <c r="C46" s="12" t="s">
        <v>11</v>
      </c>
      <c r="D46" s="12" t="s">
        <v>10</v>
      </c>
      <c r="E46" s="13" t="s">
        <v>185</v>
      </c>
      <c r="F46" s="12">
        <f>VLOOKUP(TestTable[[#This Row],[job_desc]],jobsLU,2,FALSE)</f>
        <v>9</v>
      </c>
      <c r="G46" s="12">
        <v>170</v>
      </c>
      <c r="H46" s="12" t="s">
        <v>9</v>
      </c>
      <c r="I46" s="14">
        <v>32364</v>
      </c>
    </row>
    <row r="47" spans="1:9" x14ac:dyDescent="0.2">
      <c r="A47" s="12" t="s">
        <v>4</v>
      </c>
      <c r="B47" s="12" t="s">
        <v>3</v>
      </c>
      <c r="C47" s="12" t="s">
        <v>2</v>
      </c>
      <c r="D47" s="12" t="s">
        <v>1</v>
      </c>
      <c r="E47" s="13" t="s">
        <v>197</v>
      </c>
      <c r="F47" s="12">
        <v>1</v>
      </c>
      <c r="G47" s="12">
        <v>10</v>
      </c>
      <c r="H47" s="12" t="s">
        <v>0</v>
      </c>
      <c r="I47" s="14">
        <v>32874</v>
      </c>
    </row>
  </sheetData>
  <dataConsolidate/>
  <dataValidations count="1">
    <dataValidation type="list" allowBlank="1" showInputMessage="1" showErrorMessage="1" sqref="E3:E47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9"/>
  <sheetViews>
    <sheetView tabSelected="1" workbookViewId="0">
      <selection activeCell="E10" sqref="E10"/>
    </sheetView>
  </sheetViews>
  <sheetFormatPr baseColWidth="10" defaultRowHeight="12.75" x14ac:dyDescent="0.2"/>
  <sheetData>
    <row r="1" spans="1:5" x14ac:dyDescent="0.2">
      <c r="A1" t="s">
        <v>346</v>
      </c>
      <c r="B1" t="s">
        <v>347</v>
      </c>
    </row>
    <row r="2" spans="1:5" x14ac:dyDescent="0.2">
      <c r="B2" t="s">
        <v>348</v>
      </c>
    </row>
    <row r="3" spans="1:5" x14ac:dyDescent="0.2">
      <c r="B3" t="s">
        <v>349</v>
      </c>
    </row>
    <row r="4" spans="1:5" x14ac:dyDescent="0.2">
      <c r="E4" t="s">
        <v>350</v>
      </c>
    </row>
    <row r="5" spans="1:5" x14ac:dyDescent="0.2">
      <c r="E5" t="s">
        <v>351</v>
      </c>
    </row>
    <row r="6" spans="1:5" x14ac:dyDescent="0.2">
      <c r="E6" t="s">
        <v>352</v>
      </c>
    </row>
    <row r="8" spans="1:5" x14ac:dyDescent="0.2">
      <c r="E8" t="s">
        <v>353</v>
      </c>
    </row>
    <row r="9" spans="1:5" x14ac:dyDescent="0.2">
      <c r="E9" t="s">
        <v>356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354</v>
      </c>
      <c r="G2" s="15" t="b">
        <v>0</v>
      </c>
    </row>
    <row r="3" spans="1:7" x14ac:dyDescent="0.2">
      <c r="A3" t="s">
        <v>338</v>
      </c>
    </row>
    <row r="4" spans="1:7" x14ac:dyDescent="0.2">
      <c r="A4" t="s">
        <v>172</v>
      </c>
    </row>
    <row r="5" spans="1:7" x14ac:dyDescent="0.2">
      <c r="A5" t="s">
        <v>198</v>
      </c>
      <c r="B5" t="s">
        <v>339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DBMapperDataRange</vt:lpstr>
      <vt:lpstr>DBMapperemployee</vt:lpstr>
      <vt:lpstr>DBMappertest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2020-11-21T18:01:11Z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