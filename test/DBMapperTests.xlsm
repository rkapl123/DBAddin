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A8E73E80-8F22-44F0-A98B-4A799B4ABF45}" xr6:coauthVersionLast="45" xr6:coauthVersionMax="45" xr10:uidLastSave="{00000000-0000-0000-0000-000000000000}"/>
  <bookViews>
    <workbookView xWindow="-120" yWindow="-120" windowWidth="20730" windowHeight="11310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436717175553588" hidden="1">Example2!$A$2:$H$48</definedName>
    <definedName name="DBFtarget43741663536713" hidden="1">Example3!$A$2:$I$48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Example2!$I$3:$I$48</definedName>
    <definedName name="DBMapper">Example2!$A$2:$H$48</definedName>
    <definedName name="DBMapperDataRange">Example3!$A$2:$I$48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11" i="3"/>
  <c r="F10" i="3"/>
  <c r="F4" i="3"/>
  <c r="F5" i="3"/>
  <c r="F6" i="3"/>
  <c r="F7" i="3"/>
  <c r="F8" i="3"/>
  <c r="F9" i="3"/>
  <c r="F3" i="3"/>
  <c r="A1" i="4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3" i="2"/>
  <c r="A1" i="3"/>
  <c r="L16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<sst xmlns="http://schemas.openxmlformats.org/spreadsheetml/2006/main" count="759" uniqueCount="203">
  <si>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</si>
  <si>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</si>
  <si>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</si>
  <si>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</si>
  <si>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</si>
  <si>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</si>
  <si>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</si>
  <si>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</si>
  <si>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</si>
  <si>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</si>
  <si>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</si>
  <si>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</si>
  <si>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</si>
  <si>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</si>
  <si>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</si>
  <si>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</si>
  <si>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</si>
  <si>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</si>
  <si>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</si>
  <si>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</si>
  <si>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</si>
  <si>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</si>
  <si>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</si>
  <si>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</si>
  <si>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</si>
  <si>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</si>
  <si>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</si>
  <si>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</si>
  <si>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</si>
  <si>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</si>
  <si>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</si>
  <si>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</si>
  <si>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</si>
  <si>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</si>
  <si>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</si>
  <si>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</si>
  <si>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</si>
  <si>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</si>
  <si>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</si>
  <si>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</si>
  <si>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</si>
  <si>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</si>
  <si>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</si>
  <si>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</si>
  <si>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</si>
  <si>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</si>
  <si>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</si>
  <si>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</si>
  <si>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</si>
  <si>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</si>
  <si>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</si>
  <si>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</si>
  <si>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</si>
  <si>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</si>
  <si>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</si>
  <si>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</si>
  <si>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</si>
  <si>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</si>
  <si>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</si>
  <si>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</si>
  <si>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</si>
  <si>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</si>
  <si>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</si>
  <si>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</si>
  <si>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</si>
  <si>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</si>
  <si>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</si>
  <si>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</si>
  <si>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</si>
  <si>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</si>
  <si>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</si>
  <si>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</si>
  <si>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</si>
  <si>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</si>
  <si>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</si>
  <si>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</si>
  <si>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</si>
  <si>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</si>
  <si>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</si>
  <si>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</si>
  <si>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</si>
  <si>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</si>
  <si>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</si>
  <si>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</si>
  <si>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</si>
  <si>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</si>
  <si>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</si>
  <si>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</si>
  <si>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</si>
  <si>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</si>
  <si>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</si>
  <si>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</si>
  <si>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</si>
  <si>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</si>
  <si>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</si>
  <si>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</si>
  <si>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</si>
  <si>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</si>
  <si>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</si>
  <si>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</si>
  <si>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</si>
  <si>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</si>
  <si>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</si>
  <si>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</si>
  <si>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</si>
  <si>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</si>
  <si>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</si>
  <si>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</si>
  <si>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</si>
  <si>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</si>
  <si>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</si>
  <si>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</si>
  <si>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</si>
  <si>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</si>
  <si>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</si>
  <si>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</si>
  <si>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</si>
  <si>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</si>
  <si>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</si>
  <si>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</si>
  <si>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</si>
  <si>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</si>
  <si>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</si>
  <si>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</si>
  <si>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</si>
  <si>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</si>
  <si>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</si>
  <si>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</si>
  <si>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</si>
  <si>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</si>
  <si>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</si>
  <si>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</si>
  <si>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</si>
  <si>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</si>
  <si>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</si>
  <si>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</si>
  <si>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</si>
  <si>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</si>
  <si>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</si>
  <si>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</si>
  <si>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</si>
  <si>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</si>
  <si>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</si>
  <si>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</si>
  <si>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</si>
  <si>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</si>
  <si>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</si>
  <si>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</si>
  <si>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</si>
  <si>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</si>
  <si>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</si>
  <si>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</si>
  <si>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</si>
  <si>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</si>
  <si>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</si>
  <si>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</si>
  <si>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</si>
  <si>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</si>
  <si>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</si>
  <si>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</si>
  <si>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</si>
  <si>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</si>
  <si>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</si>
  <si>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</si>
  <si>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</si>
  <si>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</si>
  <si>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</si>
  <si>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</si>
  <si>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</si>
  <si>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</si>
  <si>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</si>
  <si>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</si>
  <si>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DBMapperDatarange</t>
  </si>
  <si>
    <t>DBActionTest</t>
  </si>
  <si>
    <t>DBSequenceTest</t>
  </si>
  <si>
    <t>copy below text and Insert/DBModif/DBMapper (context menu)</t>
  </si>
  <si>
    <t>9901</t>
  </si>
  <si>
    <t>9952</t>
  </si>
  <si>
    <t>9999</t>
  </si>
  <si>
    <t/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</si>
  <si>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</si>
  <si>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</si>
  <si>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</si>
  <si>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</si>
  <si>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</si>
  <si>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</si>
  <si>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</si>
  <si>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</si>
  <si>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</si>
  <si>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</si>
  <si>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</si>
  <si>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</si>
  <si>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</si>
  <si>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</si>
  <si>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</si>
  <si>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</si>
  <si>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</si>
  <si>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</si>
  <si>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</si>
  <si>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</si>
  <si>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</si>
  <si>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</si>
  <si>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Chief Executive Officer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</si>
</sst>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133350</xdr:rowOff>
        </xdr:from>
        <xdr:to>
          <xdr:col>0</xdr:col>
          <xdr:colOff>1343025</xdr:colOff>
          <xdr:row>3</xdr:row>
          <xdr:rowOff>95250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114300</xdr:rowOff>
        </xdr:from>
        <xdr:to>
          <xdr:col>3</xdr:col>
          <xdr:colOff>390525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133350</xdr:rowOff>
        </xdr:from>
        <xdr:to>
          <xdr:col>6</xdr:col>
          <xdr:colOff>76200</xdr:colOff>
          <xdr:row>3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Example1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8" tableType="queryTable" totalsRowShown="0" headerRowDxfId="1" dataDxfId="0">
  <autoFilter ref="A2:I48" xr:uid="{00000000-0009-0000-0100-000001000000}"/>
  <tableColumns count="9">
    <tableColumn id="1" xr3:uid="{A9B464CB-BB3F-4F35-B74A-1315678A7764}" uniqueName="1" name="emp_id" queryTableFieldId="8" dataDxfId="10"/>
    <tableColumn id="2" xr3:uid="{350A23DB-911E-473A-BB86-7BEEB489B384}" uniqueName="2" name="fname" queryTableFieldId="9" dataDxfId="9"/>
    <tableColumn id="3" xr3:uid="{CB01CA4E-C61D-4B99-B955-2C9B506C5298}" uniqueName="3" name="minit" queryTableFieldId="10" dataDxfId="8"/>
    <tableColumn id="4" xr3:uid="{467EC54E-1579-4839-ABC2-BE31F6A1F141}" uniqueName="4" name="lname" queryTableFieldId="11" dataDxfId="7"/>
    <tableColumn id="10" xr3:uid="{9ACD826F-0C96-4347-A817-7848A9916234}" uniqueName="10" name="job_desc" queryTableFieldId="17" dataDxfId="6"/>
    <tableColumn id="9" xr3:uid="{198495BE-8CF9-444A-BF6A-1AB6C0A5D5CE}" uniqueName="9" name="job_id" queryTableFieldId="16" dataDxfId="5"/>
    <tableColumn id="6" xr3:uid="{200F0815-5F61-4057-B9E2-E020AC6609C7}" uniqueName="6" name="job_lvl" queryTableFieldId="13" dataDxfId="4"/>
    <tableColumn id="7" xr3:uid="{E313738D-55ED-4231-8C20-EF8FF49AF434}" uniqueName="7" name="pub_id" queryTableFieldId="14" dataDxfId="3"/>
    <tableColumn id="8" xr3:uid="{65AF8826-520B-4255-AB9D-AA327B233190}" uniqueName="8" name="hire_date" queryTableFieldId="15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195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175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196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48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Env:MSSQL, (last result:)Retrieved 46 records from: select emp_id,fname,minit,lname,job_id,job_lvl,pub_id,hire_date from pubs..employee</v>
      </c>
    </row>
    <row r="2" spans="1:11" x14ac:dyDescent="0.2">
      <c r="A2" s="4" t="s">
        <v>166</v>
      </c>
      <c r="B2" s="4" t="s">
        <v>165</v>
      </c>
      <c r="C2" s="4" t="s">
        <v>164</v>
      </c>
      <c r="D2" s="4" t="s">
        <v>163</v>
      </c>
      <c r="E2" s="4" t="s">
        <v>162</v>
      </c>
      <c r="F2" s="4" t="s">
        <v>161</v>
      </c>
      <c r="G2" s="4" t="s">
        <v>160</v>
      </c>
      <c r="H2" s="4" t="s">
        <v>159</v>
      </c>
      <c r="I2" s="4" t="s">
        <v>194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10" t="s">
        <v>176</v>
      </c>
      <c r="H3" s="2">
        <v>39017.034039351849</v>
      </c>
      <c r="I3" s="13">
        <f>E3+F3</f>
        <v>85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35</v>
      </c>
      <c r="G4" s="10" t="s">
        <v>0</v>
      </c>
      <c r="H4" s="2">
        <v>33843</v>
      </c>
      <c r="I4" s="13">
        <f t="shared" ref="I4:I48" si="0">E4+F4</f>
        <v>48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10" t="s">
        <v>5</v>
      </c>
      <c r="H5" s="2">
        <v>33231</v>
      </c>
      <c r="I5" s="13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10" t="s">
        <v>0</v>
      </c>
      <c r="H6" s="2">
        <v>33129</v>
      </c>
      <c r="I6" s="13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10" t="s">
        <v>0</v>
      </c>
      <c r="H7" s="2">
        <v>32772</v>
      </c>
      <c r="I7" s="13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197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10" t="s">
        <v>177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177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177</v>
      </c>
      <c r="H12" s="2">
        <v>33435</v>
      </c>
      <c r="I12" s="13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75</v>
      </c>
      <c r="G13" s="10" t="s">
        <v>0</v>
      </c>
      <c r="H13" s="2">
        <v>33741</v>
      </c>
      <c r="I13" s="13">
        <f t="shared" si="0"/>
        <v>85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10" t="s">
        <v>0</v>
      </c>
      <c r="H14" s="2">
        <v>34200</v>
      </c>
      <c r="I14" s="13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10" t="s">
        <v>178</v>
      </c>
      <c r="H15" s="2">
        <v>32619</v>
      </c>
      <c r="I15" s="13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10" t="s">
        <v>9</v>
      </c>
      <c r="H16" s="2">
        <v>34098</v>
      </c>
      <c r="I16" s="13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10" t="s">
        <v>5</v>
      </c>
      <c r="H17" s="2">
        <v>40001</v>
      </c>
      <c r="I17" s="13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10" t="s">
        <v>178</v>
      </c>
      <c r="H18" s="2">
        <v>34404</v>
      </c>
      <c r="I18" s="13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10" t="s">
        <v>9</v>
      </c>
      <c r="H19" s="2">
        <v>33894</v>
      </c>
      <c r="I19" s="13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10" t="s">
        <v>9</v>
      </c>
      <c r="H20" s="2">
        <v>34455</v>
      </c>
      <c r="I20" s="13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10" t="s">
        <v>178</v>
      </c>
      <c r="H21" s="2">
        <v>34302</v>
      </c>
      <c r="I21" s="13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10" t="s">
        <v>176</v>
      </c>
      <c r="H22" s="2">
        <v>33384</v>
      </c>
      <c r="I22" s="13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10" t="s">
        <v>5</v>
      </c>
      <c r="H23" s="2">
        <v>33690</v>
      </c>
      <c r="I23" s="13">
        <f t="shared" si="0"/>
        <v>142</v>
      </c>
    </row>
    <row r="24" spans="1:9" x14ac:dyDescent="0.2">
      <c r="A24" s="6" t="s">
        <v>95</v>
      </c>
      <c r="B24" s="6" t="s">
        <v>94</v>
      </c>
      <c r="C24" s="2" t="s">
        <v>179</v>
      </c>
      <c r="D24" s="6" t="s">
        <v>93</v>
      </c>
      <c r="E24" s="6">
        <v>12</v>
      </c>
      <c r="F24" s="6">
        <v>32</v>
      </c>
      <c r="G24" s="10" t="s">
        <v>5</v>
      </c>
      <c r="H24" s="2">
        <v>32670</v>
      </c>
      <c r="I24" s="13">
        <f t="shared" si="0"/>
        <v>44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10" t="s">
        <v>9</v>
      </c>
      <c r="H25" s="2">
        <v>33027</v>
      </c>
      <c r="I25" s="13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35</v>
      </c>
      <c r="G26" s="10" t="s">
        <v>0</v>
      </c>
      <c r="H26" s="2">
        <v>33078</v>
      </c>
      <c r="I26" s="13">
        <f t="shared" si="0"/>
        <v>49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10" t="s">
        <v>178</v>
      </c>
      <c r="H27" s="2">
        <v>32721</v>
      </c>
      <c r="I27" s="13">
        <f t="shared" si="0"/>
        <v>161</v>
      </c>
    </row>
    <row r="28" spans="1:9" x14ac:dyDescent="0.2">
      <c r="A28" s="6" t="s">
        <v>81</v>
      </c>
      <c r="B28" s="6" t="s">
        <v>80</v>
      </c>
      <c r="C28" s="2" t="s">
        <v>179</v>
      </c>
      <c r="D28" s="6" t="s">
        <v>79</v>
      </c>
      <c r="E28" s="6">
        <v>11</v>
      </c>
      <c r="F28" s="6">
        <v>150</v>
      </c>
      <c r="G28" s="10" t="s">
        <v>9</v>
      </c>
      <c r="H28" s="2">
        <v>33486</v>
      </c>
      <c r="I28" s="13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10" t="s">
        <v>180</v>
      </c>
      <c r="H29" s="2">
        <v>34251</v>
      </c>
      <c r="I29" s="13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10" t="s">
        <v>178</v>
      </c>
      <c r="H30" s="2">
        <v>34047</v>
      </c>
      <c r="I30" s="13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10" t="s">
        <v>9</v>
      </c>
      <c r="H31" s="2">
        <v>32313</v>
      </c>
      <c r="I31" s="13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10" t="s">
        <v>5</v>
      </c>
      <c r="H32" s="2">
        <v>33333</v>
      </c>
      <c r="I32" s="13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10" t="s">
        <v>5</v>
      </c>
      <c r="H33" s="2">
        <v>33945</v>
      </c>
      <c r="I33" s="13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10" t="s">
        <v>5</v>
      </c>
      <c r="H34" s="2">
        <v>34353</v>
      </c>
      <c r="I34" s="13">
        <f t="shared" si="0"/>
        <v>133</v>
      </c>
    </row>
    <row r="35" spans="1:9" x14ac:dyDescent="0.2">
      <c r="A35" s="6" t="s">
        <v>57</v>
      </c>
      <c r="B35" s="6" t="s">
        <v>56</v>
      </c>
      <c r="C35" s="2" t="s">
        <v>179</v>
      </c>
      <c r="D35" s="6" t="s">
        <v>55</v>
      </c>
      <c r="E35" s="6">
        <v>8</v>
      </c>
      <c r="F35" s="6">
        <v>101</v>
      </c>
      <c r="G35" s="10" t="s">
        <v>178</v>
      </c>
      <c r="H35" s="2">
        <v>32517</v>
      </c>
      <c r="I35" s="13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10" t="s">
        <v>181</v>
      </c>
      <c r="H36" s="2">
        <v>32568</v>
      </c>
      <c r="I36" s="13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10" t="s">
        <v>0</v>
      </c>
      <c r="H37" s="2">
        <v>33996</v>
      </c>
      <c r="I37" s="13">
        <f t="shared" si="0"/>
        <v>108</v>
      </c>
    </row>
    <row r="38" spans="1:9" x14ac:dyDescent="0.2">
      <c r="A38" s="6" t="s">
        <v>46</v>
      </c>
      <c r="B38" s="6" t="s">
        <v>45</v>
      </c>
      <c r="C38" s="2" t="s">
        <v>179</v>
      </c>
      <c r="D38" s="6" t="s">
        <v>44</v>
      </c>
      <c r="E38" s="6">
        <v>9</v>
      </c>
      <c r="F38" s="6">
        <v>75</v>
      </c>
      <c r="G38" s="10" t="s">
        <v>0</v>
      </c>
      <c r="H38" s="2">
        <v>33639</v>
      </c>
      <c r="I38" s="13">
        <f t="shared" si="0"/>
        <v>84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10" t="s">
        <v>5</v>
      </c>
      <c r="H39" s="2">
        <v>33588</v>
      </c>
      <c r="I39" s="13">
        <f t="shared" si="0"/>
        <v>198</v>
      </c>
    </row>
    <row r="40" spans="1:9" x14ac:dyDescent="0.2">
      <c r="A40" s="6" t="s">
        <v>39</v>
      </c>
      <c r="B40" s="6" t="s">
        <v>38</v>
      </c>
      <c r="C40" s="2" t="s">
        <v>179</v>
      </c>
      <c r="D40" s="6" t="s">
        <v>36</v>
      </c>
      <c r="E40" s="6">
        <v>6</v>
      </c>
      <c r="F40" s="6">
        <v>152</v>
      </c>
      <c r="G40" s="10" t="s">
        <v>178</v>
      </c>
      <c r="H40" s="2">
        <v>32925</v>
      </c>
      <c r="I40" s="13">
        <f t="shared" si="0"/>
        <v>158</v>
      </c>
    </row>
    <row r="41" spans="1:9" x14ac:dyDescent="0.2">
      <c r="A41" s="6" t="s">
        <v>35</v>
      </c>
      <c r="B41" s="6" t="s">
        <v>34</v>
      </c>
      <c r="C41" s="2" t="s">
        <v>33</v>
      </c>
      <c r="D41" s="6" t="s">
        <v>32</v>
      </c>
      <c r="E41" s="6">
        <v>8</v>
      </c>
      <c r="F41" s="6">
        <v>175</v>
      </c>
      <c r="G41" s="10" t="s">
        <v>9</v>
      </c>
      <c r="H41" s="2">
        <v>34149</v>
      </c>
      <c r="I41" s="13">
        <f t="shared" si="0"/>
        <v>183</v>
      </c>
    </row>
    <row r="42" spans="1:9" x14ac:dyDescent="0.2">
      <c r="A42" s="6" t="s">
        <v>31</v>
      </c>
      <c r="B42" s="6" t="s">
        <v>30</v>
      </c>
      <c r="C42" s="2" t="s">
        <v>29</v>
      </c>
      <c r="D42" s="6" t="s">
        <v>28</v>
      </c>
      <c r="E42" s="6">
        <v>13</v>
      </c>
      <c r="F42" s="6">
        <v>64</v>
      </c>
      <c r="G42" s="10" t="s">
        <v>5</v>
      </c>
      <c r="H42" s="2">
        <v>33792</v>
      </c>
      <c r="I42" s="13">
        <f t="shared" si="0"/>
        <v>77</v>
      </c>
    </row>
    <row r="43" spans="1:9" x14ac:dyDescent="0.2">
      <c r="A43" s="6" t="s">
        <v>27</v>
      </c>
      <c r="B43" s="6" t="s">
        <v>26</v>
      </c>
      <c r="C43" s="2" t="s">
        <v>22</v>
      </c>
      <c r="D43" s="6" t="s">
        <v>25</v>
      </c>
      <c r="E43" s="6">
        <v>9</v>
      </c>
      <c r="F43" s="6">
        <v>78</v>
      </c>
      <c r="G43" s="10" t="s">
        <v>5</v>
      </c>
      <c r="H43" s="2">
        <v>32415</v>
      </c>
      <c r="I43" s="13">
        <f t="shared" si="0"/>
        <v>87</v>
      </c>
    </row>
    <row r="44" spans="1:9" x14ac:dyDescent="0.2">
      <c r="A44" s="6" t="s">
        <v>24</v>
      </c>
      <c r="B44" s="6" t="s">
        <v>23</v>
      </c>
      <c r="C44" s="2" t="s">
        <v>22</v>
      </c>
      <c r="D44" s="6" t="s">
        <v>21</v>
      </c>
      <c r="E44" s="6">
        <v>12</v>
      </c>
      <c r="F44" s="6">
        <v>100</v>
      </c>
      <c r="G44" s="10" t="s">
        <v>9</v>
      </c>
      <c r="H44" s="2">
        <v>32466</v>
      </c>
      <c r="I44" s="13">
        <f t="shared" si="0"/>
        <v>112</v>
      </c>
    </row>
    <row r="45" spans="1:9" x14ac:dyDescent="0.2">
      <c r="A45" s="6" t="s">
        <v>20</v>
      </c>
      <c r="B45" s="6" t="s">
        <v>19</v>
      </c>
      <c r="C45" s="2" t="s">
        <v>18</v>
      </c>
      <c r="D45" s="6" t="s">
        <v>17</v>
      </c>
      <c r="E45" s="6">
        <v>10</v>
      </c>
      <c r="F45" s="6">
        <v>165</v>
      </c>
      <c r="G45" s="10" t="s">
        <v>9</v>
      </c>
      <c r="H45" s="2">
        <v>32976</v>
      </c>
      <c r="I45" s="13">
        <f t="shared" si="0"/>
        <v>175</v>
      </c>
    </row>
    <row r="46" spans="1:9" x14ac:dyDescent="0.2">
      <c r="A46" s="6" t="s">
        <v>16</v>
      </c>
      <c r="B46" s="6" t="s">
        <v>15</v>
      </c>
      <c r="C46" s="2" t="s">
        <v>2</v>
      </c>
      <c r="D46" s="6" t="s">
        <v>14</v>
      </c>
      <c r="E46" s="6">
        <v>13</v>
      </c>
      <c r="F46" s="6">
        <v>75</v>
      </c>
      <c r="G46" s="10" t="s">
        <v>0</v>
      </c>
      <c r="H46" s="2">
        <v>39378.009108796294</v>
      </c>
      <c r="I46" s="13">
        <f t="shared" si="0"/>
        <v>88</v>
      </c>
    </row>
    <row r="47" spans="1:9" x14ac:dyDescent="0.2">
      <c r="A47" s="6" t="s">
        <v>13</v>
      </c>
      <c r="B47" s="6" t="s">
        <v>12</v>
      </c>
      <c r="C47" s="2" t="s">
        <v>11</v>
      </c>
      <c r="D47" s="6" t="s">
        <v>10</v>
      </c>
      <c r="E47" s="6">
        <v>9</v>
      </c>
      <c r="F47" s="6">
        <v>170</v>
      </c>
      <c r="G47" s="10" t="s">
        <v>9</v>
      </c>
      <c r="H47" s="2">
        <v>32364</v>
      </c>
      <c r="I47" s="13">
        <f t="shared" si="0"/>
        <v>179</v>
      </c>
    </row>
    <row r="48" spans="1:9" x14ac:dyDescent="0.2">
      <c r="A48" s="6" t="s">
        <v>4</v>
      </c>
      <c r="B48" s="6" t="s">
        <v>3</v>
      </c>
      <c r="C48" s="2" t="s">
        <v>2</v>
      </c>
      <c r="D48" s="6" t="s">
        <v>1</v>
      </c>
      <c r="E48" s="6">
        <v>11</v>
      </c>
      <c r="F48" s="6">
        <v>75</v>
      </c>
      <c r="G48" s="10" t="s">
        <v>0</v>
      </c>
      <c r="H48" s="2">
        <v>32874</v>
      </c>
      <c r="I48" s="13">
        <f t="shared" si="0"/>
        <v>86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M48"/>
  <sheetViews>
    <sheetView tabSelected="1" workbookViewId="0">
      <selection activeCell="E5" sqref="E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12" x14ac:dyDescent="0.2">
      <c r="A1" s="12" t="str">
        <f>_xll.DBSetQuery("select emp_id,fname,minit,lname,j.job_desc,job_lvl,pub_id,hire_date from pubs..employee e inner join pubs..jobs j on j.job_id = e.job_id",3,A2)</f>
        <v>Env:MSSQL, (last result:)Set OLEDB; ListObject to (bgQuery= True): select emp_id,fname,minit,lname,j.job_desc,job_lvl,pub_id,hire_date from pubs..employee e inner join pubs..jobs j on j.job_id = e.job_id</v>
      </c>
    </row>
    <row r="2" spans="1:12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182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12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189</v>
      </c>
      <c r="F3" s="8">
        <f>VLOOKUP(TestTable[[#This Row],[job_desc]],jobsLU,2,FALSE)</f>
        <v>10</v>
      </c>
      <c r="G3" s="8">
        <v>75</v>
      </c>
      <c r="H3" s="8" t="s">
        <v>176</v>
      </c>
      <c r="I3" s="11">
        <v>39017.034039351849</v>
      </c>
    </row>
    <row r="4" spans="1:12" x14ac:dyDescent="0.2">
      <c r="A4" s="8" t="s">
        <v>157</v>
      </c>
      <c r="B4" s="8" t="s">
        <v>156</v>
      </c>
      <c r="C4" s="8" t="s">
        <v>33</v>
      </c>
      <c r="D4" s="8" t="s">
        <v>155</v>
      </c>
      <c r="E4" s="9" t="s">
        <v>192</v>
      </c>
      <c r="F4" s="8">
        <f>VLOOKUP(TestTable[[#This Row],[job_desc]],jobsLU,2,FALSE)</f>
        <v>13</v>
      </c>
      <c r="G4" s="8">
        <v>75</v>
      </c>
      <c r="H4" s="8" t="s">
        <v>0</v>
      </c>
      <c r="I4" s="11">
        <v>33843</v>
      </c>
    </row>
    <row r="5" spans="1:12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193</v>
      </c>
      <c r="F5" s="8">
        <f>VLOOKUP(TestTable[[#This Row],[job_desc]],jobsLU,2,FALSE)</f>
        <v>14</v>
      </c>
      <c r="G5" s="8">
        <v>89</v>
      </c>
      <c r="H5" s="8" t="s">
        <v>5</v>
      </c>
      <c r="I5" s="11">
        <v>33231</v>
      </c>
    </row>
    <row r="6" spans="1:12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185</v>
      </c>
      <c r="F6" s="8">
        <f>VLOOKUP(TestTable[[#This Row],[job_desc]],jobsLU,2,FALSE)</f>
        <v>6</v>
      </c>
      <c r="G6" s="8">
        <v>140</v>
      </c>
      <c r="H6" s="8" t="s">
        <v>0</v>
      </c>
      <c r="I6" s="11">
        <v>33129</v>
      </c>
    </row>
    <row r="7" spans="1:12" x14ac:dyDescent="0.2">
      <c r="A7" s="8" t="s">
        <v>148</v>
      </c>
      <c r="B7" s="8" t="s">
        <v>147</v>
      </c>
      <c r="C7" s="8"/>
      <c r="D7" s="8" t="s">
        <v>146</v>
      </c>
      <c r="E7" s="9" t="s">
        <v>47</v>
      </c>
      <c r="F7" s="8">
        <f>VLOOKUP(TestTable[[#This Row],[job_desc]],jobsLU,2,FALSE)</f>
        <v>5</v>
      </c>
      <c r="G7" s="8">
        <v>160</v>
      </c>
      <c r="H7" s="8" t="s">
        <v>0</v>
      </c>
      <c r="I7" s="11">
        <v>32772</v>
      </c>
    </row>
    <row r="8" spans="1:12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186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</row>
    <row r="9" spans="1:12" x14ac:dyDescent="0.2">
      <c r="A9" s="8" t="s">
        <v>142</v>
      </c>
      <c r="B9" s="8" t="s">
        <v>141</v>
      </c>
      <c r="C9" s="8"/>
      <c r="D9" s="8" t="s">
        <v>140</v>
      </c>
      <c r="E9" s="9" t="s">
        <v>184</v>
      </c>
      <c r="F9" s="8">
        <f>VLOOKUP(TestTable[[#This Row],[job_desc]],jobsLU,2,FALSE)</f>
        <v>4</v>
      </c>
      <c r="G9" s="8">
        <v>227</v>
      </c>
      <c r="H9" s="8" t="s">
        <v>177</v>
      </c>
      <c r="I9" s="11">
        <v>33180</v>
      </c>
    </row>
    <row r="10" spans="1:12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185</v>
      </c>
      <c r="F10" s="8">
        <f>VLOOKUP(TestTable[[#This Row],[job_desc]],jobsLU,2,FALSE)</f>
        <v>6</v>
      </c>
      <c r="G10" s="8">
        <v>215</v>
      </c>
      <c r="H10" s="8" t="s">
        <v>177</v>
      </c>
      <c r="I10" s="11">
        <v>32823</v>
      </c>
    </row>
    <row r="11" spans="1:12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189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</row>
    <row r="12" spans="1:12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183</v>
      </c>
      <c r="F12" s="8">
        <f>VLOOKUP(TestTable[[#This Row],[job_desc]],jobsLU,2,FALSE)</f>
        <v>3</v>
      </c>
      <c r="G12" s="8">
        <v>200</v>
      </c>
      <c r="H12" s="8" t="s">
        <v>177</v>
      </c>
      <c r="I12" s="11">
        <v>33435</v>
      </c>
      <c r="K12" s="4" t="s">
        <v>198</v>
      </c>
    </row>
    <row r="13" spans="1:12" x14ac:dyDescent="0.2">
      <c r="A13" s="8" t="s">
        <v>129</v>
      </c>
      <c r="B13" s="8" t="s">
        <v>128</v>
      </c>
      <c r="C13" s="8" t="s">
        <v>11</v>
      </c>
      <c r="D13" s="8" t="s">
        <v>127</v>
      </c>
      <c r="E13" s="9" t="s">
        <v>189</v>
      </c>
      <c r="F13" s="8">
        <f>VLOOKUP(TestTable[[#This Row],[job_desc]],jobsLU,2,FALSE)</f>
        <v>10</v>
      </c>
      <c r="G13" s="8">
        <v>75</v>
      </c>
      <c r="H13" s="8" t="s">
        <v>0</v>
      </c>
      <c r="I13" s="11">
        <v>33741</v>
      </c>
      <c r="K13" s="4" t="s">
        <v>199</v>
      </c>
    </row>
    <row r="14" spans="1:12" x14ac:dyDescent="0.2">
      <c r="A14" s="8" t="s">
        <v>126</v>
      </c>
      <c r="B14" s="8" t="s">
        <v>125</v>
      </c>
      <c r="C14" s="8" t="s">
        <v>124</v>
      </c>
      <c r="D14" s="8" t="s">
        <v>123</v>
      </c>
      <c r="E14" s="9" t="s">
        <v>47</v>
      </c>
      <c r="F14" s="8">
        <f>VLOOKUP(TestTable[[#This Row],[job_desc]],jobsLU,2,FALSE)</f>
        <v>5</v>
      </c>
      <c r="G14" s="8">
        <v>159</v>
      </c>
      <c r="H14" s="8" t="s">
        <v>0</v>
      </c>
      <c r="I14" s="11">
        <v>34200</v>
      </c>
    </row>
    <row r="15" spans="1:12" x14ac:dyDescent="0.2">
      <c r="A15" s="8" t="s">
        <v>122</v>
      </c>
      <c r="B15" s="8" t="s">
        <v>121</v>
      </c>
      <c r="C15" s="8" t="s">
        <v>18</v>
      </c>
      <c r="D15" s="8" t="s">
        <v>120</v>
      </c>
      <c r="E15" s="9" t="s">
        <v>47</v>
      </c>
      <c r="F15" s="8">
        <f>VLOOKUP(TestTable[[#This Row],[job_desc]],jobsLU,2,FALSE)</f>
        <v>5</v>
      </c>
      <c r="G15" s="8">
        <v>211</v>
      </c>
      <c r="H15" s="8" t="s">
        <v>178</v>
      </c>
      <c r="I15" s="11">
        <v>32619</v>
      </c>
    </row>
    <row r="16" spans="1:12" x14ac:dyDescent="0.2">
      <c r="A16" s="8" t="s">
        <v>119</v>
      </c>
      <c r="B16" s="8" t="s">
        <v>118</v>
      </c>
      <c r="C16" s="8" t="s">
        <v>117</v>
      </c>
      <c r="D16" s="8" t="s">
        <v>116</v>
      </c>
      <c r="E16" s="9" t="s">
        <v>186</v>
      </c>
      <c r="F16" s="8">
        <f>VLOOKUP(TestTable[[#This Row],[job_desc]],jobsLU,2,FALSE)</f>
        <v>7</v>
      </c>
      <c r="G16" s="8">
        <v>195</v>
      </c>
      <c r="H16" s="8" t="s">
        <v>9</v>
      </c>
      <c r="I16" s="11">
        <v>34098</v>
      </c>
      <c r="L16" s="12" t="str">
        <f>_xll.DBListFetch("select job_desc, job_id from pubs..jobs","",jobsLU)</f>
        <v>Env:MSSQL, (last result:)Retrieved 14 records from: select job_desc, job_id from pubs..jobs</v>
      </c>
    </row>
    <row r="17" spans="1:13" x14ac:dyDescent="0.2">
      <c r="A17" s="8" t="s">
        <v>8</v>
      </c>
      <c r="B17" s="8" t="s">
        <v>7</v>
      </c>
      <c r="C17" s="8"/>
      <c r="D17" s="8" t="s">
        <v>6</v>
      </c>
      <c r="E17" s="9" t="s">
        <v>186</v>
      </c>
      <c r="F17" s="8">
        <f>VLOOKUP(TestTable[[#This Row],[job_desc]],jobsLU,2,FALSE)</f>
        <v>7</v>
      </c>
      <c r="G17" s="8">
        <v>170</v>
      </c>
      <c r="H17" s="8" t="s">
        <v>5</v>
      </c>
      <c r="I17" s="11">
        <v>40001</v>
      </c>
      <c r="L17" s="6" t="s">
        <v>201</v>
      </c>
      <c r="M17" s="6">
        <v>1</v>
      </c>
    </row>
    <row r="18" spans="1:13" x14ac:dyDescent="0.2">
      <c r="A18" s="8" t="s">
        <v>115</v>
      </c>
      <c r="B18" s="8" t="s">
        <v>114</v>
      </c>
      <c r="C18" s="8" t="s">
        <v>52</v>
      </c>
      <c r="D18" s="8" t="s">
        <v>113</v>
      </c>
      <c r="E18" s="9" t="s">
        <v>188</v>
      </c>
      <c r="F18" s="8">
        <f>VLOOKUP(TestTable[[#This Row],[job_desc]],jobsLU,2,FALSE)</f>
        <v>9</v>
      </c>
      <c r="G18" s="8">
        <v>170</v>
      </c>
      <c r="H18" s="8" t="s">
        <v>178</v>
      </c>
      <c r="I18" s="11">
        <v>34404</v>
      </c>
      <c r="L18" s="6" t="s">
        <v>202</v>
      </c>
      <c r="M18" s="6">
        <v>2</v>
      </c>
    </row>
    <row r="19" spans="1:13" x14ac:dyDescent="0.2">
      <c r="A19" s="8" t="s">
        <v>112</v>
      </c>
      <c r="B19" s="8" t="s">
        <v>111</v>
      </c>
      <c r="C19" s="8" t="s">
        <v>18</v>
      </c>
      <c r="D19" s="8" t="s">
        <v>110</v>
      </c>
      <c r="E19" s="9" t="s">
        <v>193</v>
      </c>
      <c r="F19" s="8">
        <f>VLOOKUP(TestTable[[#This Row],[job_desc]],jobsLU,2,FALSE)</f>
        <v>14</v>
      </c>
      <c r="G19" s="8">
        <v>100</v>
      </c>
      <c r="H19" s="8" t="s">
        <v>9</v>
      </c>
      <c r="I19" s="11">
        <v>33894</v>
      </c>
      <c r="L19" s="6" t="s">
        <v>183</v>
      </c>
      <c r="M19" s="6">
        <v>3</v>
      </c>
    </row>
    <row r="20" spans="1:13" x14ac:dyDescent="0.2">
      <c r="A20" s="8" t="s">
        <v>109</v>
      </c>
      <c r="B20" s="8" t="s">
        <v>108</v>
      </c>
      <c r="C20" s="8" t="s">
        <v>29</v>
      </c>
      <c r="D20" s="8" t="s">
        <v>107</v>
      </c>
      <c r="E20" s="9" t="s">
        <v>185</v>
      </c>
      <c r="F20" s="8">
        <f>VLOOKUP(TestTable[[#This Row],[job_desc]],jobsLU,2,FALSE)</f>
        <v>6</v>
      </c>
      <c r="G20" s="8">
        <v>220</v>
      </c>
      <c r="H20" s="8" t="s">
        <v>9</v>
      </c>
      <c r="I20" s="11">
        <v>34455</v>
      </c>
      <c r="L20" s="6" t="s">
        <v>184</v>
      </c>
      <c r="M20" s="6">
        <v>4</v>
      </c>
    </row>
    <row r="21" spans="1:13" x14ac:dyDescent="0.2">
      <c r="A21" s="8" t="s">
        <v>106</v>
      </c>
      <c r="B21" s="8" t="s">
        <v>105</v>
      </c>
      <c r="C21" s="8" t="s">
        <v>104</v>
      </c>
      <c r="D21" s="8" t="s">
        <v>103</v>
      </c>
      <c r="E21" s="9" t="s">
        <v>189</v>
      </c>
      <c r="F21" s="8">
        <f>VLOOKUP(TestTable[[#This Row],[job_desc]],jobsLU,2,FALSE)</f>
        <v>10</v>
      </c>
      <c r="G21" s="8">
        <v>80</v>
      </c>
      <c r="H21" s="8" t="s">
        <v>178</v>
      </c>
      <c r="I21" s="11">
        <v>34302</v>
      </c>
      <c r="L21" s="6" t="s">
        <v>47</v>
      </c>
      <c r="M21" s="6">
        <v>5</v>
      </c>
    </row>
    <row r="22" spans="1:13" x14ac:dyDescent="0.2">
      <c r="A22" s="8" t="s">
        <v>102</v>
      </c>
      <c r="B22" s="8" t="s">
        <v>101</v>
      </c>
      <c r="C22" s="8" t="s">
        <v>100</v>
      </c>
      <c r="D22" s="8" t="s">
        <v>99</v>
      </c>
      <c r="E22" s="9" t="s">
        <v>47</v>
      </c>
      <c r="F22" s="8">
        <f>VLOOKUP(TestTable[[#This Row],[job_desc]],jobsLU,2,FALSE)</f>
        <v>5</v>
      </c>
      <c r="G22" s="8">
        <v>172</v>
      </c>
      <c r="H22" s="8" t="s">
        <v>176</v>
      </c>
      <c r="I22" s="11">
        <v>33384</v>
      </c>
      <c r="L22" s="6" t="s">
        <v>185</v>
      </c>
      <c r="M22" s="6">
        <v>6</v>
      </c>
    </row>
    <row r="23" spans="1:13" x14ac:dyDescent="0.2">
      <c r="A23" s="8" t="s">
        <v>98</v>
      </c>
      <c r="B23" s="8" t="s">
        <v>53</v>
      </c>
      <c r="C23" s="8" t="s">
        <v>97</v>
      </c>
      <c r="D23" s="8" t="s">
        <v>96</v>
      </c>
      <c r="E23" s="9" t="s">
        <v>186</v>
      </c>
      <c r="F23" s="8">
        <f>VLOOKUP(TestTable[[#This Row],[job_desc]],jobsLU,2,FALSE)</f>
        <v>7</v>
      </c>
      <c r="G23" s="8">
        <v>135</v>
      </c>
      <c r="H23" s="8" t="s">
        <v>5</v>
      </c>
      <c r="I23" s="11">
        <v>33690</v>
      </c>
      <c r="L23" s="6" t="s">
        <v>186</v>
      </c>
      <c r="M23" s="6">
        <v>7</v>
      </c>
    </row>
    <row r="24" spans="1:13" x14ac:dyDescent="0.2">
      <c r="A24" s="8" t="s">
        <v>95</v>
      </c>
      <c r="B24" s="8" t="s">
        <v>94</v>
      </c>
      <c r="C24" s="8" t="s">
        <v>179</v>
      </c>
      <c r="D24" s="8" t="s">
        <v>93</v>
      </c>
      <c r="E24" s="9" t="s">
        <v>191</v>
      </c>
      <c r="F24" s="8">
        <f>VLOOKUP(TestTable[[#This Row],[job_desc]],jobsLU,2,FALSE)</f>
        <v>12</v>
      </c>
      <c r="G24" s="8">
        <v>75</v>
      </c>
      <c r="H24" s="8" t="s">
        <v>5</v>
      </c>
      <c r="I24" s="11">
        <v>32670</v>
      </c>
      <c r="L24" s="6" t="s">
        <v>187</v>
      </c>
      <c r="M24" s="6">
        <v>8</v>
      </c>
    </row>
    <row r="25" spans="1:13" x14ac:dyDescent="0.2">
      <c r="A25" s="8" t="s">
        <v>92</v>
      </c>
      <c r="B25" s="8" t="s">
        <v>91</v>
      </c>
      <c r="C25" s="8" t="s">
        <v>22</v>
      </c>
      <c r="D25" s="8" t="s">
        <v>90</v>
      </c>
      <c r="E25" s="9" t="s">
        <v>47</v>
      </c>
      <c r="F25" s="8">
        <f>VLOOKUP(TestTable[[#This Row],[job_desc]],jobsLU,2,FALSE)</f>
        <v>5</v>
      </c>
      <c r="G25" s="8">
        <v>175</v>
      </c>
      <c r="H25" s="8" t="s">
        <v>9</v>
      </c>
      <c r="I25" s="11">
        <v>33027</v>
      </c>
      <c r="L25" s="6" t="s">
        <v>188</v>
      </c>
      <c r="M25" s="6">
        <v>9</v>
      </c>
    </row>
    <row r="26" spans="1:13" x14ac:dyDescent="0.2">
      <c r="A26" s="8" t="s">
        <v>89</v>
      </c>
      <c r="B26" s="8" t="s">
        <v>88</v>
      </c>
      <c r="C26" s="8" t="s">
        <v>87</v>
      </c>
      <c r="D26" s="8" t="s">
        <v>86</v>
      </c>
      <c r="E26" s="9" t="s">
        <v>193</v>
      </c>
      <c r="F26" s="8">
        <f>VLOOKUP(TestTable[[#This Row],[job_desc]],jobsLU,2,FALSE)</f>
        <v>14</v>
      </c>
      <c r="G26" s="8">
        <v>75</v>
      </c>
      <c r="H26" s="8" t="s">
        <v>0</v>
      </c>
      <c r="I26" s="11">
        <v>33078</v>
      </c>
      <c r="L26" s="6" t="s">
        <v>189</v>
      </c>
      <c r="M26" s="6">
        <v>10</v>
      </c>
    </row>
    <row r="27" spans="1:13" x14ac:dyDescent="0.2">
      <c r="A27" s="8" t="s">
        <v>85</v>
      </c>
      <c r="B27" s="8" t="s">
        <v>84</v>
      </c>
      <c r="C27" s="8" t="s">
        <v>83</v>
      </c>
      <c r="D27" s="8" t="s">
        <v>82</v>
      </c>
      <c r="E27" s="9" t="s">
        <v>190</v>
      </c>
      <c r="F27" s="8">
        <f>VLOOKUP(TestTable[[#This Row],[job_desc]],jobsLU,2,FALSE)</f>
        <v>11</v>
      </c>
      <c r="G27" s="8">
        <v>150</v>
      </c>
      <c r="H27" s="8" t="s">
        <v>178</v>
      </c>
      <c r="I27" s="11">
        <v>32721</v>
      </c>
      <c r="L27" s="6" t="s">
        <v>190</v>
      </c>
      <c r="M27" s="6">
        <v>11</v>
      </c>
    </row>
    <row r="28" spans="1:13" x14ac:dyDescent="0.2">
      <c r="A28" s="8" t="s">
        <v>81</v>
      </c>
      <c r="B28" s="8" t="s">
        <v>80</v>
      </c>
      <c r="C28" s="8" t="s">
        <v>179</v>
      </c>
      <c r="D28" s="8" t="s">
        <v>79</v>
      </c>
      <c r="E28" s="9" t="s">
        <v>190</v>
      </c>
      <c r="F28" s="8">
        <f>VLOOKUP(TestTable[[#This Row],[job_desc]],jobsLU,2,FALSE)</f>
        <v>11</v>
      </c>
      <c r="G28" s="8">
        <v>150</v>
      </c>
      <c r="H28" s="8" t="s">
        <v>9</v>
      </c>
      <c r="I28" s="11">
        <v>33486</v>
      </c>
      <c r="L28" s="6" t="s">
        <v>191</v>
      </c>
      <c r="M28" s="6">
        <v>12</v>
      </c>
    </row>
    <row r="29" spans="1:13" x14ac:dyDescent="0.2">
      <c r="A29" s="8" t="s">
        <v>78</v>
      </c>
      <c r="B29" s="8" t="s">
        <v>77</v>
      </c>
      <c r="C29" s="8" t="s">
        <v>2</v>
      </c>
      <c r="D29" s="8" t="s">
        <v>76</v>
      </c>
      <c r="E29" s="9" t="s">
        <v>47</v>
      </c>
      <c r="F29" s="8">
        <f>VLOOKUP(TestTable[[#This Row],[job_desc]],jobsLU,2,FALSE)</f>
        <v>5</v>
      </c>
      <c r="G29" s="8">
        <v>198</v>
      </c>
      <c r="H29" s="8" t="s">
        <v>180</v>
      </c>
      <c r="I29" s="11">
        <v>34251</v>
      </c>
      <c r="L29" s="6" t="s">
        <v>192</v>
      </c>
      <c r="M29" s="6">
        <v>13</v>
      </c>
    </row>
    <row r="30" spans="1:13" x14ac:dyDescent="0.2">
      <c r="A30" s="8" t="s">
        <v>75</v>
      </c>
      <c r="B30" s="8" t="s">
        <v>74</v>
      </c>
      <c r="C30" s="8" t="s">
        <v>22</v>
      </c>
      <c r="D30" s="8" t="s">
        <v>73</v>
      </c>
      <c r="E30" s="9" t="s">
        <v>186</v>
      </c>
      <c r="F30" s="8">
        <f>VLOOKUP(TestTable[[#This Row],[job_desc]],jobsLU,2,FALSE)</f>
        <v>7</v>
      </c>
      <c r="G30" s="8">
        <v>120</v>
      </c>
      <c r="H30" s="8" t="s">
        <v>178</v>
      </c>
      <c r="I30" s="11">
        <v>34047</v>
      </c>
      <c r="L30" s="6" t="s">
        <v>193</v>
      </c>
      <c r="M30" s="6">
        <v>14</v>
      </c>
    </row>
    <row r="31" spans="1:13" x14ac:dyDescent="0.2">
      <c r="A31" s="8" t="s">
        <v>72</v>
      </c>
      <c r="B31" s="8" t="s">
        <v>71</v>
      </c>
      <c r="C31" s="8" t="s">
        <v>70</v>
      </c>
      <c r="D31" s="8" t="s">
        <v>69</v>
      </c>
      <c r="E31" s="9" t="s">
        <v>192</v>
      </c>
      <c r="F31" s="8">
        <f>VLOOKUP(TestTable[[#This Row],[job_desc]],jobsLU,2,FALSE)</f>
        <v>13</v>
      </c>
      <c r="G31" s="8">
        <v>100</v>
      </c>
      <c r="H31" s="8" t="s">
        <v>9</v>
      </c>
      <c r="I31" s="11">
        <v>32313</v>
      </c>
      <c r="L31" s="6"/>
      <c r="M31" s="6"/>
    </row>
    <row r="32" spans="1:13" x14ac:dyDescent="0.2">
      <c r="A32" s="8" t="s">
        <v>68</v>
      </c>
      <c r="B32" s="8" t="s">
        <v>67</v>
      </c>
      <c r="C32" s="8" t="s">
        <v>66</v>
      </c>
      <c r="D32" s="8" t="s">
        <v>65</v>
      </c>
      <c r="E32" s="9" t="s">
        <v>47</v>
      </c>
      <c r="F32" s="8">
        <f>VLOOKUP(TestTable[[#This Row],[job_desc]],jobsLU,2,FALSE)</f>
        <v>5</v>
      </c>
      <c r="G32" s="8">
        <v>150</v>
      </c>
      <c r="H32" s="8" t="s">
        <v>5</v>
      </c>
      <c r="I32" s="11">
        <v>33333</v>
      </c>
    </row>
    <row r="33" spans="1:9" x14ac:dyDescent="0.2">
      <c r="A33" s="8" t="s">
        <v>64</v>
      </c>
      <c r="B33" s="8" t="s">
        <v>63</v>
      </c>
      <c r="C33" s="8" t="s">
        <v>22</v>
      </c>
      <c r="D33" s="8" t="s">
        <v>62</v>
      </c>
      <c r="E33" s="9" t="s">
        <v>190</v>
      </c>
      <c r="F33" s="8">
        <f>VLOOKUP(TestTable[[#This Row],[job_desc]],jobsLU,2,FALSE)</f>
        <v>11</v>
      </c>
      <c r="G33" s="8">
        <v>112</v>
      </c>
      <c r="H33" s="8" t="s">
        <v>5</v>
      </c>
      <c r="I33" s="11">
        <v>33945</v>
      </c>
    </row>
    <row r="34" spans="1:9" x14ac:dyDescent="0.2">
      <c r="A34" s="8" t="s">
        <v>61</v>
      </c>
      <c r="B34" s="8" t="s">
        <v>60</v>
      </c>
      <c r="C34" s="8" t="s">
        <v>59</v>
      </c>
      <c r="D34" s="8" t="s">
        <v>58</v>
      </c>
      <c r="E34" s="9" t="s">
        <v>187</v>
      </c>
      <c r="F34" s="8">
        <f>VLOOKUP(TestTable[[#This Row],[job_desc]],jobsLU,2,FALSE)</f>
        <v>8</v>
      </c>
      <c r="G34" s="8">
        <v>125</v>
      </c>
      <c r="H34" s="8" t="s">
        <v>5</v>
      </c>
      <c r="I34" s="11">
        <v>34353</v>
      </c>
    </row>
    <row r="35" spans="1:9" x14ac:dyDescent="0.2">
      <c r="A35" s="8" t="s">
        <v>57</v>
      </c>
      <c r="B35" s="8" t="s">
        <v>56</v>
      </c>
      <c r="C35" s="8" t="s">
        <v>179</v>
      </c>
      <c r="D35" s="8" t="s">
        <v>55</v>
      </c>
      <c r="E35" s="9" t="s">
        <v>187</v>
      </c>
      <c r="F35" s="8">
        <f>VLOOKUP(TestTable[[#This Row],[job_desc]],jobsLU,2,FALSE)</f>
        <v>8</v>
      </c>
      <c r="G35" s="8">
        <v>101</v>
      </c>
      <c r="H35" s="8" t="s">
        <v>178</v>
      </c>
      <c r="I35" s="11">
        <v>32517</v>
      </c>
    </row>
    <row r="36" spans="1:9" x14ac:dyDescent="0.2">
      <c r="A36" s="8" t="s">
        <v>54</v>
      </c>
      <c r="B36" s="8" t="s">
        <v>53</v>
      </c>
      <c r="C36" s="8" t="s">
        <v>52</v>
      </c>
      <c r="D36" s="8" t="s">
        <v>51</v>
      </c>
      <c r="E36" s="9" t="s">
        <v>47</v>
      </c>
      <c r="F36" s="8">
        <f>VLOOKUP(TestTable[[#This Row],[job_desc]],jobsLU,2,FALSE)</f>
        <v>5</v>
      </c>
      <c r="G36" s="8">
        <v>246</v>
      </c>
      <c r="H36" s="8" t="s">
        <v>181</v>
      </c>
      <c r="I36" s="11">
        <v>32568</v>
      </c>
    </row>
    <row r="37" spans="1:9" x14ac:dyDescent="0.2">
      <c r="A37" s="8" t="s">
        <v>50</v>
      </c>
      <c r="B37" s="8" t="s">
        <v>49</v>
      </c>
      <c r="C37" s="8" t="s">
        <v>48</v>
      </c>
      <c r="D37" s="8" t="s">
        <v>47</v>
      </c>
      <c r="E37" s="9" t="s">
        <v>187</v>
      </c>
      <c r="F37" s="8">
        <f>VLOOKUP(TestTable[[#This Row],[job_desc]],jobsLU,2,FALSE)</f>
        <v>8</v>
      </c>
      <c r="G37" s="8">
        <v>100</v>
      </c>
      <c r="H37" s="8" t="s">
        <v>0</v>
      </c>
      <c r="I37" s="11">
        <v>33996</v>
      </c>
    </row>
    <row r="38" spans="1:9" x14ac:dyDescent="0.2">
      <c r="A38" s="8" t="s">
        <v>46</v>
      </c>
      <c r="B38" s="8" t="s">
        <v>45</v>
      </c>
      <c r="C38" s="8" t="s">
        <v>179</v>
      </c>
      <c r="D38" s="8" t="s">
        <v>44</v>
      </c>
      <c r="E38" s="9" t="s">
        <v>188</v>
      </c>
      <c r="F38" s="8">
        <f>VLOOKUP(TestTable[[#This Row],[job_desc]],jobsLU,2,FALSE)</f>
        <v>9</v>
      </c>
      <c r="G38" s="8">
        <v>75</v>
      </c>
      <c r="H38" s="8" t="s">
        <v>0</v>
      </c>
      <c r="I38" s="11">
        <v>33639</v>
      </c>
    </row>
    <row r="39" spans="1:9" x14ac:dyDescent="0.2">
      <c r="A39" s="8" t="s">
        <v>43</v>
      </c>
      <c r="B39" s="8" t="s">
        <v>42</v>
      </c>
      <c r="C39" s="8" t="s">
        <v>41</v>
      </c>
      <c r="D39" s="8" t="s">
        <v>40</v>
      </c>
      <c r="E39" s="9" t="s">
        <v>185</v>
      </c>
      <c r="F39" s="8">
        <f>VLOOKUP(TestTable[[#This Row],[job_desc]],jobsLU,2,FALSE)</f>
        <v>6</v>
      </c>
      <c r="G39" s="8">
        <v>192</v>
      </c>
      <c r="H39" s="8" t="s">
        <v>5</v>
      </c>
      <c r="I39" s="11">
        <v>33588</v>
      </c>
    </row>
    <row r="40" spans="1:9" x14ac:dyDescent="0.2">
      <c r="A40" s="8" t="s">
        <v>39</v>
      </c>
      <c r="B40" s="8" t="s">
        <v>38</v>
      </c>
      <c r="C40" s="8" t="s">
        <v>179</v>
      </c>
      <c r="D40" s="8" t="s">
        <v>36</v>
      </c>
      <c r="E40" s="9" t="s">
        <v>185</v>
      </c>
      <c r="F40" s="8">
        <f>VLOOKUP(TestTable[[#This Row],[job_desc]],jobsLU,2,FALSE)</f>
        <v>6</v>
      </c>
      <c r="G40" s="8">
        <v>152</v>
      </c>
      <c r="H40" s="8" t="s">
        <v>178</v>
      </c>
      <c r="I40" s="11">
        <v>32925</v>
      </c>
    </row>
    <row r="41" spans="1:9" x14ac:dyDescent="0.2">
      <c r="A41" s="8" t="s">
        <v>35</v>
      </c>
      <c r="B41" s="8" t="s">
        <v>34</v>
      </c>
      <c r="C41" s="8" t="s">
        <v>33</v>
      </c>
      <c r="D41" s="8" t="s">
        <v>32</v>
      </c>
      <c r="E41" s="9" t="s">
        <v>187</v>
      </c>
      <c r="F41" s="8">
        <f>VLOOKUP(TestTable[[#This Row],[job_desc]],jobsLU,2,FALSE)</f>
        <v>8</v>
      </c>
      <c r="G41" s="8">
        <v>175</v>
      </c>
      <c r="H41" s="8" t="s">
        <v>9</v>
      </c>
      <c r="I41" s="11">
        <v>34149</v>
      </c>
    </row>
    <row r="42" spans="1:9" x14ac:dyDescent="0.2">
      <c r="A42" s="8" t="s">
        <v>31</v>
      </c>
      <c r="B42" s="8" t="s">
        <v>30</v>
      </c>
      <c r="C42" s="8" t="s">
        <v>29</v>
      </c>
      <c r="D42" s="8" t="s">
        <v>28</v>
      </c>
      <c r="E42" s="9" t="s">
        <v>192</v>
      </c>
      <c r="F42" s="8">
        <f>VLOOKUP(TestTable[[#This Row],[job_desc]],jobsLU,2,FALSE)</f>
        <v>13</v>
      </c>
      <c r="G42" s="8">
        <v>75</v>
      </c>
      <c r="H42" s="8" t="s">
        <v>5</v>
      </c>
      <c r="I42" s="11">
        <v>33792</v>
      </c>
    </row>
    <row r="43" spans="1:9" x14ac:dyDescent="0.2">
      <c r="A43" s="8" t="s">
        <v>27</v>
      </c>
      <c r="B43" s="8" t="s">
        <v>26</v>
      </c>
      <c r="C43" s="8" t="s">
        <v>22</v>
      </c>
      <c r="D43" s="8" t="s">
        <v>25</v>
      </c>
      <c r="E43" s="9" t="s">
        <v>188</v>
      </c>
      <c r="F43" s="8">
        <f>VLOOKUP(TestTable[[#This Row],[job_desc]],jobsLU,2,FALSE)</f>
        <v>9</v>
      </c>
      <c r="G43" s="8">
        <v>78</v>
      </c>
      <c r="H43" s="8" t="s">
        <v>5</v>
      </c>
      <c r="I43" s="11">
        <v>32415</v>
      </c>
    </row>
    <row r="44" spans="1:9" x14ac:dyDescent="0.2">
      <c r="A44" s="8" t="s">
        <v>24</v>
      </c>
      <c r="B44" s="8" t="s">
        <v>23</v>
      </c>
      <c r="C44" s="8" t="s">
        <v>22</v>
      </c>
      <c r="D44" s="8" t="s">
        <v>21</v>
      </c>
      <c r="E44" s="9" t="s">
        <v>191</v>
      </c>
      <c r="F44" s="8">
        <f>VLOOKUP(TestTable[[#This Row],[job_desc]],jobsLU,2,FALSE)</f>
        <v>12</v>
      </c>
      <c r="G44" s="8">
        <v>100</v>
      </c>
      <c r="H44" s="8" t="s">
        <v>9</v>
      </c>
      <c r="I44" s="11">
        <v>32466</v>
      </c>
    </row>
    <row r="45" spans="1:9" x14ac:dyDescent="0.2">
      <c r="A45" s="8" t="s">
        <v>20</v>
      </c>
      <c r="B45" s="8" t="s">
        <v>19</v>
      </c>
      <c r="C45" s="8" t="s">
        <v>18</v>
      </c>
      <c r="D45" s="8" t="s">
        <v>17</v>
      </c>
      <c r="E45" s="9" t="s">
        <v>189</v>
      </c>
      <c r="F45" s="8">
        <f>VLOOKUP(TestTable[[#This Row],[job_desc]],jobsLU,2,FALSE)</f>
        <v>10</v>
      </c>
      <c r="G45" s="8">
        <v>165</v>
      </c>
      <c r="H45" s="8" t="s">
        <v>9</v>
      </c>
      <c r="I45" s="11">
        <v>32976</v>
      </c>
    </row>
    <row r="46" spans="1:9" x14ac:dyDescent="0.2">
      <c r="A46" s="8" t="s">
        <v>16</v>
      </c>
      <c r="B46" s="8" t="s">
        <v>15</v>
      </c>
      <c r="C46" s="8" t="s">
        <v>2</v>
      </c>
      <c r="D46" s="8" t="s">
        <v>14</v>
      </c>
      <c r="E46" s="9" t="s">
        <v>192</v>
      </c>
      <c r="F46" s="8">
        <f>VLOOKUP(TestTable[[#This Row],[job_desc]],jobsLU,2,FALSE)</f>
        <v>13</v>
      </c>
      <c r="G46" s="8">
        <v>75</v>
      </c>
      <c r="H46" s="8" t="s">
        <v>0</v>
      </c>
      <c r="I46" s="11">
        <v>39378.009108796294</v>
      </c>
    </row>
    <row r="47" spans="1:9" x14ac:dyDescent="0.2">
      <c r="A47" s="8" t="s">
        <v>13</v>
      </c>
      <c r="B47" s="8" t="s">
        <v>12</v>
      </c>
      <c r="C47" s="8" t="s">
        <v>11</v>
      </c>
      <c r="D47" s="8" t="s">
        <v>10</v>
      </c>
      <c r="E47" s="9" t="s">
        <v>188</v>
      </c>
      <c r="F47" s="8">
        <f>VLOOKUP(TestTable[[#This Row],[job_desc]],jobsLU,2,FALSE)</f>
        <v>9</v>
      </c>
      <c r="G47" s="8">
        <v>170</v>
      </c>
      <c r="H47" s="8" t="s">
        <v>9</v>
      </c>
      <c r="I47" s="11">
        <v>32364</v>
      </c>
    </row>
    <row r="48" spans="1:9" x14ac:dyDescent="0.2">
      <c r="A48" s="8" t="s">
        <v>4</v>
      </c>
      <c r="B48" s="8" t="s">
        <v>3</v>
      </c>
      <c r="C48" s="8" t="s">
        <v>2</v>
      </c>
      <c r="D48" s="8" t="s">
        <v>1</v>
      </c>
      <c r="E48" s="9" t="s">
        <v>190</v>
      </c>
      <c r="F48" s="8">
        <f>VLOOKUP(TestTable[[#This Row],[job_desc]],jobsLU,2,FALSE)</f>
        <v>11</v>
      </c>
      <c r="G48" s="8">
        <v>75</v>
      </c>
      <c r="H48" s="8" t="s">
        <v>0</v>
      </c>
      <c r="I48" s="11">
        <v>32874</v>
      </c>
    </row>
  </sheetData>
  <dataConsolidate/>
  <dataValidations count="1">
    <dataValidation type="list" allowBlank="1" showInputMessage="1" showErrorMessage="1" sqref="E3:E48" xr:uid="{B7EA384E-E470-43C9-B85D-B5BDF48A5CC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A12" sqref="A12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tr">
        <f>"update pubs..employee set job_lvl="&amp;B2&amp;" where job_lvl&lt;"&amp;B1</f>
        <v>update pubs..employee set job_lvl=75 where job_lvl&lt;75</v>
      </c>
      <c r="B1">
        <v>75</v>
      </c>
    </row>
    <row r="2" spans="1:4" x14ac:dyDescent="0.2">
      <c r="B2">
        <v>75</v>
      </c>
      <c r="D2" s="4" t="s">
        <v>200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276225</xdr:colOff>
                <xdr:row>1</xdr:row>
                <xdr:rowOff>133350</xdr:rowOff>
              </from>
              <to>
                <xdr:col>0</xdr:col>
                <xdr:colOff>1343025</xdr:colOff>
                <xdr:row>3</xdr:row>
                <xdr:rowOff>95250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CC27E-6D9B-4232-AF35-C63B02E658EF}">
  <sheetPr codeName="Tabelle4"/>
  <dimension ref="A1:A5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</cols>
  <sheetData>
    <row r="1" spans="1:1" x14ac:dyDescent="0.2">
      <c r="A1" t="s">
        <v>170</v>
      </c>
    </row>
    <row r="2" spans="1:1" x14ac:dyDescent="0.2">
      <c r="A2" t="s">
        <v>171</v>
      </c>
    </row>
    <row r="3" spans="1:1" x14ac:dyDescent="0.2">
      <c r="A3" t="s">
        <v>172</v>
      </c>
    </row>
    <row r="4" spans="1:1" x14ac:dyDescent="0.2">
      <c r="A4" t="s">
        <v>173</v>
      </c>
    </row>
    <row r="5" spans="1:1" x14ac:dyDescent="0.2">
      <c r="A5" t="s">
        <v>174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1</xdr:col>
                    <xdr:colOff>323850</xdr:colOff>
                    <xdr:row>0</xdr:row>
                    <xdr:rowOff>114300</xdr:rowOff>
                  </from>
                  <to>
                    <xdr:col>3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4</xdr:col>
                    <xdr:colOff>9525</xdr:colOff>
                    <xdr:row>0</xdr:row>
                    <xdr:rowOff>133350</xdr:rowOff>
                  </from>
                  <to>
                    <xdr:col>6</xdr:col>
                    <xdr:colOff>76200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SeqnceTest>
    <execOnSave>True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DBRefrsh:DBFsource43741663536713:DBSetQuery(in Example3!$A$1)</seqStep>
  </DBSeqnceTest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</root>
</file>

<file path=customXml/itemProps1.xml><?xml version="1.0" encoding="utf-8"?>
<ds:datastoreItem xmlns:ds="http://schemas.openxmlformats.org/officeDocument/2006/customXml" ds:itemID="{2CF05E2C-BFD9-46F7-AB09-F4D0E09A57D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2020-03-01T15:52:23Z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