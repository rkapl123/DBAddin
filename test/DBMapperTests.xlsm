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1CB72813-85D2-4F3C-89ED-BA8F177DA61B}" xr6:coauthVersionLast="45" xr6:coauthVersionMax="45" xr10:uidLastSave="{00000000-0000-0000-0000-000000000000}"/>
  <bookViews>
    <workbookView xWindow="345" yWindow="2355" windowWidth="21600" windowHeight="12855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Example2!$I$3:$I$45</definedName>
    <definedName name="DBMapper">OFFSET(Example2!$A$2,0,0,COUNTA(Example2!$A:$A)-1,9)</definedName>
    <definedName name="DBMapperDataRange">Example3!$A$2:$I$45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<sst xmlns="http://schemas.openxmlformats.org/spreadsheetml/2006/main" count="894" uniqueCount="347">
  <si>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</si>
  <si>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</si>
  <si>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</si>
  <si>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</si>
  <si>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</si>
  <si>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</si>
  <si>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</si>
  <si>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</si>
  <si>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</si>
  <si>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</si>
  <si>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</si>
  <si>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</si>
  <si>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</si>
  <si>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</si>
  <si>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</si>
  <si>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</si>
  <si>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</si>
  <si>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</si>
  <si>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</si>
  <si>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</si>
  <si>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</si>
  <si>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</si>
  <si>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</si>
  <si>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</si>
  <si>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</si>
  <si>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</si>
  <si>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</si>
  <si>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</si>
  <si>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</si>
  <si>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</si>
  <si>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</si>
  <si>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</si>
  <si>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</si>
  <si>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</si>
  <si>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</si>
  <si>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</si>
  <si>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</si>
  <si>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</si>
  <si>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</si>
  <si>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</si>
  <si>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</si>
  <si>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</si>
  <si>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</si>
  <si>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</si>
  <si>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</si>
  <si>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</si>
  <si>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</si>
  <si>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</si>
  <si>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</si>
  <si>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</si>
  <si>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</si>
  <si>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</si>
  <si>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</si>
  <si>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</si>
  <si>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</si>
  <si>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</si>
  <si>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</si>
  <si>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</si>
  <si>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</si>
  <si>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</si>
  <si>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</si>
  <si>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</si>
  <si>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</si>
  <si>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</si>
  <si>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</si>
  <si>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</si>
  <si>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</si>
  <si>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</si>
  <si>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</si>
  <si>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</si>
  <si>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</si>
  <si>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</si>
  <si>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</si>
  <si>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</si>
  <si>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</si>
  <si>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</si>
  <si>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</si>
  <si>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</si>
  <si>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</si>
  <si>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</si>
  <si>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</si>
  <si>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</si>
  <si>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</si>
  <si>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</si>
  <si>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</si>
  <si>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</si>
  <si>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</si>
  <si>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</si>
  <si>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</si>
  <si>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</si>
  <si>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</si>
  <si>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</si>
  <si>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</si>
  <si>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</si>
  <si>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</si>
  <si>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</si>
  <si>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</si>
  <si>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</si>
  <si>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</si>
  <si>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</si>
  <si>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</si>
  <si>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</si>
  <si>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</si>
  <si>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</si>
  <si>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</si>
  <si>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</si>
  <si>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</si>
  <si>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</si>
  <si>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</si>
  <si>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</si>
  <si>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</si>
  <si>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</si>
  <si>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</si>
  <si>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</si>
  <si>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</si>
  <si>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</si>
  <si>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</si>
  <si>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</si>
  <si>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</si>
  <si>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</si>
  <si>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</si>
  <si>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</si>
  <si>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</si>
  <si>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</si>
  <si>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</si>
  <si>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</si>
  <si>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</si>
  <si>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</si>
  <si>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</si>
  <si>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</si>
  <si>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</si>
  <si>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</si>
  <si>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</si>
  <si>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</si>
  <si>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</si>
  <si>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</si>
  <si>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</si>
  <si>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</si>
  <si>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</si>
  <si>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</si>
  <si>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</si>
  <si>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</si>
  <si>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</si>
  <si>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</si>
  <si>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</si>
  <si>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</si>
  <si>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</si>
  <si>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</si>
  <si>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</si>
  <si>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</si>
  <si>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</si>
  <si>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</si>
  <si>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</si>
  <si>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</si>
  <si>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</si>
  <si>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</si>
  <si>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</si>
  <si>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</si>
  <si>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</si>
  <si>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</si>
  <si>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</si>
  <si>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</si>
  <si>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</si>
  <si>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</si>
  <si>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</si>
  <si>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</si>
  <si>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</si>
  <si>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</si>
  <si>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</si>
  <si>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</si>
  <si>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</si>
  <si>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</si>
  <si>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</si>
  <si>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</si>
  <si>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</si>
  <si>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</si>
  <si>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</si>
  <si>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</si>
  <si>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</si>
  <si>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</si>
  <si>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</si>
  <si>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</si>
  <si>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</si>
  <si>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</si>
  <si>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</si>
  <si>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</si>
  <si>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</si>
  <si>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</si>
  <si>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</si>
  <si>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</si>
  <si>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</si>
  <si>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</si>
  <si>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</si>
  <si>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</si>
  <si>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</si>
  <si>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</si>
  <si>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</si>
  <si>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</si>
  <si>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</si>
  <si>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</si>
  <si>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</si>
  <si>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</si>
  <si>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</si>
  <si>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</si>
  <si>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</si>
  <si>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</si>
  <si>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</si>
  <si>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</si>
  <si>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</si>
  <si>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</si>
  <si>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</si>
  <si>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</si>
  <si>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</si>
  <si>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</si>
  <si>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</si>
  <si>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</si>
  <si>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</si>
  <si>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</si>
  <si>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</si>
  <si>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</si>
  <si>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</si>
  <si>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</si>
  <si>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</si>
  <si>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</si>
  <si>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</si>
  <si>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</si>
  <si>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</si>
  <si>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</si>
  <si>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</si>
  <si>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</si>
  <si>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</si>
  <si>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</si>
  <si>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</si>
  <si>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</si>
  <si>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</si>
  <si>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</si>
  <si>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</si>
  <si>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</si>
  <si>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</si>
  <si>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</si>
  <si>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</si>
  <si>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</si>
  <si>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</si>
  <si>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</si>
  <si>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</si>
  <si>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</si>
  <si>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</si>
  <si>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</si>
  <si>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</si>
  <si>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</si>
  <si>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</si>
  <si>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</si>
  <si>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</si>
  <si>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</si>
  <si>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</si>
  <si>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</si>
  <si>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</si>
  <si>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</si>
  <si>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</si>
  <si>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</si>
  <si>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</si>
  <si>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</si>
  <si>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</si>
  <si>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</si>
  <si>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</si>
  <si>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</si>
  <si>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</si>
  <si>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</si>
  <si>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</si>
  <si>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</si>
  <si>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</si>
  <si>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</si>
  <si>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</si>
  <si>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</si>
  <si>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</si>
  <si>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</si>
  <si>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</si>
  <si>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</si>
  <si>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</si>
  <si>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</si>
  <si>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</si>
  <si>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</si>
  <si>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</si>
  <si>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</si>
  <si>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</si>
  <si>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</si>
  <si>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</si>
  <si>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</si>
  <si>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</si>
  <si>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</si>
  <si>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</si>
  <si>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</si>
  <si>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</si>
  <si>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</si>
  <si>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</si>
  <si>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</si>
  <si>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</si>
  <si>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</si>
  <si>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</si>
  <si>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</si>
  <si>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</si>
  <si>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</si>
  <si>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</si>
  <si>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</si>
  <si>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</si>
  <si>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</si>
  <si>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</si>
  <si>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</si>
  <si>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</si>
  <si>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</si>
  <si>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</si>
  <si>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</si>
  <si>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</si>
  <si>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</si>
  <si>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</si>
  <si>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</si>
  <si>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</si>
  <si>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</si>
  <si>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</si>
  <si>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</si>
  <si>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</si>
  <si>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</si>
  <si>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</si>
  <si>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</si>
  <si>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</si>
  <si>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</si>
  <si>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</si>
  <si>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</si>
  <si>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</si>
  <si>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</si>
  <si>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</si>
  <si>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</si>
  <si>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</si>
  <si>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</si>
  <si>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</si>
  <si>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</si>
  <si>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</si>
  <si>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</si>
  <si>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</si>
  <si>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</si>
  <si>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</si>
  <si>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</si>
  <si>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</si>
  <si>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</si>
  <si>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h</t>
  </si>
  <si>
    <t>&lt;- data range is defined with a named offset formula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</si>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</sst>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22" fontId="3" fillId="0" borderId="0" xfId="0" applyNumberFormat="1" applyFont="1" applyProtection="1">
      <protection locked="0"/>
    </xf>
    <xf numFmtId="14" fontId="3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5" sqref="D2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A2" sqref="A2:I4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8" t="s">
        <v>174</v>
      </c>
      <c r="H3" s="2">
        <v>39017.034039351849</v>
      </c>
      <c r="I3" s="10">
        <f>E3+F3</f>
        <v>94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6</v>
      </c>
      <c r="F4" s="6">
        <v>145</v>
      </c>
      <c r="G4" s="8" t="s">
        <v>5</v>
      </c>
      <c r="H4" s="2">
        <v>33231</v>
      </c>
      <c r="I4" s="10">
        <f t="shared" ref="I4:I45" si="0">E4+F4</f>
        <v>151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7</v>
      </c>
      <c r="F5" s="6">
        <v>140</v>
      </c>
      <c r="G5" s="8" t="s">
        <v>0</v>
      </c>
      <c r="H5" s="2">
        <v>33231</v>
      </c>
      <c r="I5" s="10">
        <f t="shared" si="0"/>
        <v>147</v>
      </c>
    </row>
    <row r="6" spans="1:11" x14ac:dyDescent="0.2">
      <c r="A6" s="6" t="s">
        <v>148</v>
      </c>
      <c r="B6" s="6" t="s">
        <v>147</v>
      </c>
      <c r="C6" s="2" t="s">
        <v>344</v>
      </c>
      <c r="D6" s="6" t="s">
        <v>146</v>
      </c>
      <c r="E6" s="6">
        <v>8</v>
      </c>
      <c r="F6" s="6">
        <v>160</v>
      </c>
      <c r="G6" s="8" t="s">
        <v>0</v>
      </c>
      <c r="H6" s="2">
        <v>32772</v>
      </c>
      <c r="I6" s="10">
        <f t="shared" si="0"/>
        <v>168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11</v>
      </c>
      <c r="F10" s="6">
        <v>87</v>
      </c>
      <c r="G10" s="8" t="s">
        <v>175</v>
      </c>
      <c r="H10" s="2">
        <v>33537</v>
      </c>
      <c r="I10" s="10">
        <f t="shared" si="0"/>
        <v>98</v>
      </c>
      <c r="K10" s="4" t="s">
        <v>345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77</v>
      </c>
      <c r="G12" s="8" t="s">
        <v>5</v>
      </c>
      <c r="H12" s="2">
        <v>33741</v>
      </c>
      <c r="I12" s="10">
        <f t="shared" si="0"/>
        <v>87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/>
      <c r="D22" s="6" t="s">
        <v>93</v>
      </c>
      <c r="E22" s="6">
        <v>12</v>
      </c>
      <c r="F22" s="6">
        <v>77</v>
      </c>
      <c r="G22" s="8" t="s">
        <v>5</v>
      </c>
      <c r="H22" s="2">
        <v>32670</v>
      </c>
      <c r="I22" s="10">
        <f t="shared" si="0"/>
        <v>89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77</v>
      </c>
      <c r="G24" s="8" t="s">
        <v>0</v>
      </c>
      <c r="H24" s="2">
        <v>33078</v>
      </c>
      <c r="I24" s="10">
        <f t="shared" si="0"/>
        <v>91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67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77</v>
      </c>
      <c r="G36" s="8" t="s">
        <v>0</v>
      </c>
      <c r="H36" s="2">
        <v>33639</v>
      </c>
      <c r="I36" s="10">
        <f t="shared" si="0"/>
        <v>86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77</v>
      </c>
      <c r="G40" s="8" t="s">
        <v>5</v>
      </c>
      <c r="H40" s="2">
        <v>33792</v>
      </c>
      <c r="I40" s="10">
        <f t="shared" si="0"/>
        <v>90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77</v>
      </c>
      <c r="G45" s="8" t="s">
        <v>0</v>
      </c>
      <c r="H45" s="2">
        <v>32874</v>
      </c>
      <c r="I45" s="10">
        <f t="shared" si="0"/>
        <v>88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8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topLeftCell="A13" workbookViewId="0">
      <selection activeCell="G46" sqref="G4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190</v>
      </c>
      <c r="F3" s="12">
        <f>VLOOKUP(TestTable[[#This Row],[job_desc]],jobsLU,2,FALSE)</f>
        <v>14</v>
      </c>
      <c r="G3" s="12">
        <v>80</v>
      </c>
      <c r="H3" s="12" t="s">
        <v>174</v>
      </c>
      <c r="I3" s="14">
        <v>39017.034039351849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182</v>
      </c>
      <c r="F4" s="12">
        <f>VLOOKUP(TestTable[[#This Row],[job_desc]],jobsLU,2,FALSE)</f>
        <v>6</v>
      </c>
      <c r="G4" s="12">
        <v>145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183</v>
      </c>
      <c r="F5" s="12">
        <f>VLOOKUP(TestTable[[#This Row],[job_desc]],jobsLU,2,FALSE)</f>
        <v>7</v>
      </c>
      <c r="G5" s="12">
        <v>140</v>
      </c>
      <c r="H5" s="12" t="s">
        <v>0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344</v>
      </c>
      <c r="D6" s="12" t="s">
        <v>146</v>
      </c>
      <c r="E6" s="13" t="s">
        <v>184</v>
      </c>
      <c r="F6" s="12">
        <f>VLOOKUP(TestTable[[#This Row],[job_desc]],jobsLU,2,FALSE)</f>
        <v>8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187</v>
      </c>
      <c r="F10" s="12">
        <f>VLOOKUP(TestTable[[#This Row],[job_desc]],jobsLU,2,FALSE)</f>
        <v>11</v>
      </c>
      <c r="G10" s="12">
        <v>87</v>
      </c>
      <c r="H10" s="12" t="s">
        <v>175</v>
      </c>
      <c r="I10" s="14">
        <v>33537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77</v>
      </c>
      <c r="H12" s="12" t="s">
        <v>5</v>
      </c>
      <c r="I12" s="14">
        <v>33741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95</v>
      </c>
      <c r="B22" s="12" t="s">
        <v>94</v>
      </c>
      <c r="C22" s="12"/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77</v>
      </c>
      <c r="H22" s="12" t="s">
        <v>5</v>
      </c>
      <c r="I22" s="14">
        <v>32670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77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72</v>
      </c>
      <c r="B29" s="12" t="s">
        <v>67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</row>
    <row r="33" spans="1:10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10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10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10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77</v>
      </c>
      <c r="H36" s="12" t="s">
        <v>0</v>
      </c>
      <c r="I36" s="14">
        <v>33639</v>
      </c>
    </row>
    <row r="37" spans="1:10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10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10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10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77</v>
      </c>
      <c r="H40" s="12" t="s">
        <v>5</v>
      </c>
      <c r="I40" s="14">
        <v>33792</v>
      </c>
    </row>
    <row r="41" spans="1:10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185</v>
      </c>
      <c r="F41" s="12">
        <f>VLOOKUP(TestTable[[#This Row],[job_desc]],jobsLU,2,FALSE)</f>
        <v>9</v>
      </c>
      <c r="G41" s="12">
        <v>78</v>
      </c>
      <c r="H41" s="12" t="s">
        <v>5</v>
      </c>
      <c r="I41" s="14">
        <v>32415</v>
      </c>
    </row>
    <row r="42" spans="1:10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10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10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10" x14ac:dyDescent="0.2">
      <c r="A45" s="15" t="s">
        <v>4</v>
      </c>
      <c r="B45" s="15" t="s">
        <v>3</v>
      </c>
      <c r="C45" s="15" t="s">
        <v>2</v>
      </c>
      <c r="D45" s="15" t="s">
        <v>1</v>
      </c>
      <c r="E45" s="16" t="s">
        <v>187</v>
      </c>
      <c r="F45" s="15">
        <v>1</v>
      </c>
      <c r="G45" s="15">
        <v>78</v>
      </c>
      <c r="H45" s="15" t="s">
        <v>0</v>
      </c>
      <c r="I45" s="17">
        <v>32874</v>
      </c>
      <c r="J45" t="s">
        <v>346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F7" sqref="F7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338</v>
      </c>
      <c r="B3" t="s">
        <v>339</v>
      </c>
    </row>
    <row r="4" spans="1:2" x14ac:dyDescent="0.2">
      <c r="A4" t="s">
        <v>172</v>
      </c>
    </row>
    <row r="5" spans="1:2" x14ac:dyDescent="0.2">
      <c r="A5" t="s">
        <v>198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">
    <execOnSave>False</execOnSave>
    <askBeforeExecute>True</askBeforeExecute>
    <env>0</env>
    <database>pubs</database>
    <tableName>employee</tableName>
    <primKeysStr>1</primKeysStr>
    <insertIfMissing>True</insertIfMissing>
    <executeAdditionalProc/>
    <ignoreColumns>ignoredColumn</ignoreColumns>
    <CUDFlags>False</CUDFlags>
    <AutoIncFlag>False</AutoIncFlag>
    <IgnoreDataErrors>False</IgnoreDataErrors>
    <confirmText/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</vt:i4>
      </vt:variant>
    </vt:vector>
  </HeadingPairs>
  <TitlesOfParts>
    <vt:vector size="11" baseType="lpstr">
      <vt:lpstr>Example1</vt:lpstr>
      <vt:lpstr>Example2</vt:lpstr>
      <vt:lpstr>Example3</vt:lpstr>
      <vt:lpstr>ExampleDBAction</vt:lpstr>
      <vt:lpstr>TestAutomation</vt:lpstr>
      <vt:lpstr>DBActionTest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2020-10-24T19:15:28Z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