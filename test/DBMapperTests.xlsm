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80646457-1344-4CE1-9609-362EFA66D944}" xr6:coauthVersionLast="46" xr6:coauthVersionMax="46" xr10:uidLastSave="{00000000-0000-0000-0000-000000000000}"/>
  <bookViews>
    <workbookView xWindow="5430" yWindow="1620" windowWidth="22095" windowHeight="13650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Example2!$A$2:$H$49</definedName>
    <definedName name="DBFtarget43741663536713" hidden="1">Example3!$A$2:$I$49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Example2!$I$3:$I$49</definedName>
    <definedName name="DBMapper">Example2!$A$2:$I$49</definedName>
    <definedName name="DBMapperauthors">Example1!$K$24:$L$24</definedName>
    <definedName name="DBMapperDataRange">Example3!$A$2:$I$49</definedName>
    <definedName name="DBMapperemployee">Example1!$A$1:$H$48</definedName>
    <definedName name="DBMappertest">Example4!$A$1:$B$3</definedName>
    <definedName name="DBSeqnce">ExampleDBAction!$A$3</definedName>
    <definedName name="employee">Example1!$A$1:$H$47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A1" i="3"/>
  <c r="N5" i="3"/>
  <c r="L16" i="3"/>
  <c r="A1" i="2"/>
  <c r="F45" i="3" l="1"/>
  <c r="F4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<sst xmlns="http://schemas.openxmlformats.org/spreadsheetml/2006/main" count="942" uniqueCount="350">
  <si>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</si>
  <si>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</si>
  <si>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</si>
  <si>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</si>
  <si>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</si>
  <si>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</si>
  <si>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</si>
  <si>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</si>
  <si>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</si>
  <si>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</si>
  <si>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</si>
  <si>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</si>
  <si>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</si>
  <si>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</si>
  <si>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</si>
  <si>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</si>
  <si>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</si>
  <si>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</si>
  <si>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</si>
  <si>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</si>
  <si>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</si>
  <si>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</si>
  <si>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</si>
  <si>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</si>
  <si>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</si>
  <si>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</si>
  <si>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</si>
  <si>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</si>
  <si>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</si>
  <si>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</si>
  <si>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</si>
  <si>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</si>
  <si>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</si>
  <si>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</si>
  <si>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</si>
  <si>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</si>
  <si>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</si>
  <si>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</si>
  <si>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</si>
  <si>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</si>
  <si>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</si>
  <si>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</si>
  <si>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</si>
  <si>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</si>
  <si>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</si>
  <si>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</si>
  <si>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</si>
  <si>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</si>
  <si>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</si>
  <si>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</si>
  <si>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</si>
  <si>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</si>
  <si>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</si>
  <si>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</si>
  <si>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</si>
  <si>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</si>
  <si>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</si>
  <si>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</si>
  <si>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</si>
  <si>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</si>
  <si>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</si>
  <si>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</si>
  <si>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</si>
  <si>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</si>
  <si>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</si>
  <si>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</si>
  <si>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</si>
  <si>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</si>
  <si>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</si>
  <si>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</si>
  <si>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</si>
  <si>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</si>
  <si>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</si>
  <si>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</si>
  <si>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</si>
  <si>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</si>
  <si>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</si>
  <si>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</si>
  <si>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</si>
  <si>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</si>
  <si>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</si>
  <si>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</si>
  <si>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</si>
  <si>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</si>
  <si>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</si>
  <si>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</si>
  <si>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</si>
  <si>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</si>
  <si>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</si>
  <si>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</si>
  <si>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</si>
  <si>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</si>
  <si>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</si>
  <si>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</si>
  <si>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</si>
  <si>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</si>
  <si>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</si>
  <si>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</si>
  <si>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</si>
  <si>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</si>
  <si>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</si>
  <si>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</si>
  <si>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</si>
  <si>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</si>
  <si>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</si>
  <si>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</si>
  <si>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</si>
  <si>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</si>
  <si>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</si>
  <si>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</si>
  <si>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</si>
  <si>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</si>
  <si>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</si>
  <si>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</si>
  <si>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</si>
  <si>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</si>
  <si>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</si>
  <si>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</si>
  <si>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</si>
  <si>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</si>
  <si>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</si>
  <si>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</si>
  <si>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</si>
  <si>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</si>
  <si>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</si>
  <si>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</si>
  <si>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</si>
  <si>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</si>
  <si>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</si>
  <si>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</si>
  <si>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</si>
  <si>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</si>
  <si>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</si>
  <si>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</si>
  <si>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</si>
  <si>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</si>
  <si>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</si>
  <si>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</si>
  <si>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</si>
  <si>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</si>
  <si>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</si>
  <si>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</si>
  <si>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</si>
  <si>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</si>
  <si>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</si>
  <si>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</si>
  <si>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</si>
  <si>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</si>
  <si>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</si>
  <si>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</si>
  <si>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</si>
  <si>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</si>
  <si>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</si>
  <si>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</si>
  <si>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</si>
  <si>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</si>
  <si>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</si>
  <si>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</si>
  <si>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</si>
  <si>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</si>
  <si>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</si>
  <si>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</si>
  <si>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</si>
  <si>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</si>
  <si>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</si>
  <si>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</si>
  <si>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</si>
  <si>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</si>
  <si>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</si>
  <si>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</si>
  <si>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</si>
  <si>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</si>
  <si>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</si>
  <si>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</si>
  <si>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</si>
  <si>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</si>
  <si>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</si>
  <si>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</si>
  <si>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</si>
  <si>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</si>
  <si>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</si>
  <si>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</si>
  <si>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</si>
  <si>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</si>
  <si>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</si>
  <si>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</si>
  <si>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</si>
  <si>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</si>
  <si>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</si>
  <si>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</si>
  <si>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</si>
  <si>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</si>
  <si>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</si>
  <si>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</si>
  <si>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</si>
  <si>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</si>
  <si>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</si>
  <si>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</si>
  <si>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</si>
  <si>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</si>
  <si>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</si>
  <si>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</si>
  <si>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</si>
  <si>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</si>
  <si>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</si>
  <si>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</si>
  <si>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</si>
  <si>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</si>
  <si>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</si>
  <si>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</si>
  <si>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</si>
  <si>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</si>
  <si>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</si>
  <si>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</si>
  <si>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</si>
  <si>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</si>
  <si>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</si>
  <si>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</si>
  <si>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</si>
  <si>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</si>
  <si>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</si>
  <si>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</si>
  <si>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</si>
  <si>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</si>
  <si>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</si>
  <si>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</si>
  <si>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</si>
  <si>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</si>
  <si>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</si>
  <si>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</si>
  <si>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</si>
  <si>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</si>
  <si>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</si>
  <si>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</si>
  <si>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</si>
  <si>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</si>
  <si>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</si>
  <si>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</si>
  <si>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</si>
  <si>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</si>
  <si>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</si>
  <si>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</si>
  <si>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</si>
  <si>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</si>
  <si>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</si>
  <si>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</si>
  <si>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</si>
  <si>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</si>
  <si>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</si>
  <si>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</si>
  <si>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</si>
  <si>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</si>
  <si>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</si>
  <si>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</si>
  <si>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</si>
  <si>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</si>
  <si>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</si>
  <si>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</si>
  <si>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</si>
  <si>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</si>
  <si>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</si>
  <si>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</si>
  <si>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</si>
  <si>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</si>
  <si>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</si>
  <si>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</si>
  <si>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</si>
  <si>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</si>
  <si>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</si>
  <si>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</si>
  <si>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</si>
  <si>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</si>
  <si>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</si>
  <si>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</si>
  <si>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</si>
  <si>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</si>
  <si>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</si>
  <si>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</si>
  <si>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</si>
  <si>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</si>
  <si>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</si>
  <si>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</si>
  <si>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</si>
  <si>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</si>
  <si>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</si>
  <si>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</si>
  <si>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</si>
  <si>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</si>
  <si>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</si>
  <si>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</si>
  <si>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</si>
  <si>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</si>
  <si>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</si>
  <si>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</si>
  <si>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</si>
  <si>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</si>
  <si>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</si>
  <si>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</si>
  <si>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</si>
  <si>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</si>
  <si>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</si>
  <si>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</si>
  <si>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</si>
  <si>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</si>
  <si>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</si>
  <si>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</si>
  <si>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</si>
  <si>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</si>
  <si>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</si>
  <si>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</si>
  <si>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</si>
  <si>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</si>
  <si>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</si>
  <si>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</si>
  <si>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</si>
  <si>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</si>
  <si>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</si>
  <si>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</si>
  <si>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</si>
  <si>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</si>
  <si>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</si>
  <si>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</si>
  <si>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</si>
  <si>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</si>
  <si>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</si>
  <si>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</si>
  <si>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</si>
  <si>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</si>
  <si>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</si>
  <si>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</si>
  <si>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</si>
  <si>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</si>
  <si>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</si>
  <si>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</si>
  <si>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</si>
  <si>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</si>
  <si>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</si>
  <si>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</si>
  <si>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</si>
  <si>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</si>
  <si>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/>
  </si>
  <si>
    <t>au_id2</t>
  </si>
  <si>
    <t>Ben</t>
  </si>
  <si>
    <t>172-32-1177</t>
  </si>
  <si>
    <t>testL</t>
  </si>
  <si>
    <t>testF</t>
  </si>
  <si>
    <t>232 sdfsdf sdfsdf</t>
  </si>
  <si>
    <t>erwer</t>
  </si>
  <si>
    <t>sd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</si>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</sst>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9" tableType="queryTable" totalsRowShown="0" headerRowDxfId="10" dataDxfId="9">
  <autoFilter ref="A2:I49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tabSelected="1" workbookViewId="0">
      <pane ySplit="1" topLeftCell="A2" activePane="bottomLeft" state="frozen"/>
      <selection pane="bottomLeft" activeCell="K24" sqref="K24:L2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339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A2" sqref="A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47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8" t="s">
        <v>174</v>
      </c>
      <c r="H3" s="2">
        <v>39017.034039351849</v>
      </c>
      <c r="I3" s="10">
        <f>E3+F3</f>
        <v>85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35</v>
      </c>
      <c r="G4" s="8" t="s">
        <v>0</v>
      </c>
      <c r="H4" s="2">
        <v>33843</v>
      </c>
      <c r="I4" s="10">
        <f t="shared" ref="I4:I49" si="0">E4+F4</f>
        <v>48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  <c r="K10" s="4" t="s">
        <v>328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75</v>
      </c>
      <c r="G13" s="8" t="s">
        <v>0</v>
      </c>
      <c r="H13" s="2">
        <v>33741</v>
      </c>
      <c r="I13" s="10">
        <f t="shared" si="0"/>
        <v>85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8" t="s">
        <v>0</v>
      </c>
      <c r="H14" s="2">
        <v>34200</v>
      </c>
      <c r="I14" s="10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8" t="s">
        <v>176</v>
      </c>
      <c r="H15" s="2">
        <v>32619</v>
      </c>
      <c r="I15" s="10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8" t="s">
        <v>9</v>
      </c>
      <c r="H16" s="2">
        <v>34098</v>
      </c>
      <c r="I16" s="10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8" t="s">
        <v>5</v>
      </c>
      <c r="H17" s="2">
        <v>40001</v>
      </c>
      <c r="I17" s="10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8" t="s">
        <v>176</v>
      </c>
      <c r="H18" s="2">
        <v>34404</v>
      </c>
      <c r="I18" s="10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8" t="s">
        <v>9</v>
      </c>
      <c r="H19" s="2">
        <v>33894</v>
      </c>
      <c r="I19" s="10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8" t="s">
        <v>9</v>
      </c>
      <c r="H20" s="2">
        <v>34455</v>
      </c>
      <c r="I20" s="10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8" t="s">
        <v>176</v>
      </c>
      <c r="H21" s="2">
        <v>34302</v>
      </c>
      <c r="I21" s="10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8" t="s">
        <v>174</v>
      </c>
      <c r="H22" s="2">
        <v>33384</v>
      </c>
      <c r="I22" s="10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8" t="s">
        <v>5</v>
      </c>
      <c r="H23" s="2">
        <v>33690</v>
      </c>
      <c r="I23" s="10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340</v>
      </c>
      <c r="D24" s="6" t="s">
        <v>93</v>
      </c>
      <c r="E24" s="6">
        <v>12</v>
      </c>
      <c r="F24" s="6">
        <v>32</v>
      </c>
      <c r="G24" s="8" t="s">
        <v>5</v>
      </c>
      <c r="H24" s="2">
        <v>32670</v>
      </c>
      <c r="I24" s="10">
        <f t="shared" si="0"/>
        <v>44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8" t="s">
        <v>9</v>
      </c>
      <c r="H25" s="2">
        <v>33027</v>
      </c>
      <c r="I25" s="10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35</v>
      </c>
      <c r="G26" s="8" t="s">
        <v>0</v>
      </c>
      <c r="H26" s="2">
        <v>33078</v>
      </c>
      <c r="I26" s="10">
        <f t="shared" si="0"/>
        <v>49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8" t="s">
        <v>176</v>
      </c>
      <c r="H27" s="2">
        <v>32721</v>
      </c>
      <c r="I27" s="10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340</v>
      </c>
      <c r="D28" s="6" t="s">
        <v>79</v>
      </c>
      <c r="E28" s="6">
        <v>11</v>
      </c>
      <c r="F28" s="6">
        <v>150</v>
      </c>
      <c r="G28" s="8" t="s">
        <v>9</v>
      </c>
      <c r="H28" s="2">
        <v>33486</v>
      </c>
      <c r="I28" s="10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8" t="s">
        <v>177</v>
      </c>
      <c r="H29" s="2">
        <v>34251</v>
      </c>
      <c r="I29" s="10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8" t="s">
        <v>176</v>
      </c>
      <c r="H30" s="2">
        <v>34047</v>
      </c>
      <c r="I30" s="10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8" t="s">
        <v>9</v>
      </c>
      <c r="H31" s="2">
        <v>32313</v>
      </c>
      <c r="I31" s="10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8" t="s">
        <v>5</v>
      </c>
      <c r="H32" s="2">
        <v>33333</v>
      </c>
      <c r="I32" s="10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8" t="s">
        <v>5</v>
      </c>
      <c r="H33" s="2">
        <v>33945</v>
      </c>
      <c r="I33" s="10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8" t="s">
        <v>5</v>
      </c>
      <c r="H34" s="2">
        <v>34353</v>
      </c>
      <c r="I34" s="10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340</v>
      </c>
      <c r="D35" s="6" t="s">
        <v>55</v>
      </c>
      <c r="E35" s="6">
        <v>8</v>
      </c>
      <c r="F35" s="6">
        <v>101</v>
      </c>
      <c r="G35" s="8" t="s">
        <v>176</v>
      </c>
      <c r="H35" s="2">
        <v>32517</v>
      </c>
      <c r="I35" s="10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8" t="s">
        <v>178</v>
      </c>
      <c r="H36" s="2">
        <v>32568</v>
      </c>
      <c r="I36" s="10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8" t="s">
        <v>0</v>
      </c>
      <c r="H37" s="2">
        <v>33996</v>
      </c>
      <c r="I37" s="10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340</v>
      </c>
      <c r="D38" s="6" t="s">
        <v>44</v>
      </c>
      <c r="E38" s="6">
        <v>9</v>
      </c>
      <c r="F38" s="6">
        <v>75</v>
      </c>
      <c r="G38" s="8" t="s">
        <v>0</v>
      </c>
      <c r="H38" s="2">
        <v>33639</v>
      </c>
      <c r="I38" s="10">
        <f t="shared" si="0"/>
        <v>84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8" t="s">
        <v>5</v>
      </c>
      <c r="H39" s="2">
        <v>33588</v>
      </c>
      <c r="I39" s="10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340</v>
      </c>
      <c r="D40" s="6" t="s">
        <v>36</v>
      </c>
      <c r="E40" s="6">
        <v>6</v>
      </c>
      <c r="F40" s="6">
        <v>152</v>
      </c>
      <c r="G40" s="8" t="s">
        <v>176</v>
      </c>
      <c r="H40" s="2">
        <v>32925</v>
      </c>
      <c r="I40" s="10">
        <f t="shared" si="0"/>
        <v>158</v>
      </c>
    </row>
    <row r="41" spans="1:9" x14ac:dyDescent="0.2">
      <c r="A41" s="6" t="s">
        <v>168</v>
      </c>
      <c r="B41" s="6" t="s">
        <v>169</v>
      </c>
      <c r="C41" s="2"/>
      <c r="D41" s="6" t="s">
        <v>167</v>
      </c>
      <c r="E41" s="6">
        <v>7</v>
      </c>
      <c r="F41" s="6">
        <v>170</v>
      </c>
      <c r="G41" s="8" t="s">
        <v>5</v>
      </c>
      <c r="H41" s="2">
        <v>40001</v>
      </c>
      <c r="I41" s="10">
        <f t="shared" si="0"/>
        <v>177</v>
      </c>
    </row>
    <row r="42" spans="1:9" x14ac:dyDescent="0.2">
      <c r="A42" s="6" t="s">
        <v>35</v>
      </c>
      <c r="B42" s="6" t="s">
        <v>34</v>
      </c>
      <c r="C42" s="2" t="s">
        <v>33</v>
      </c>
      <c r="D42" s="6" t="s">
        <v>32</v>
      </c>
      <c r="E42" s="6">
        <v>8</v>
      </c>
      <c r="F42" s="6">
        <v>175</v>
      </c>
      <c r="G42" s="8" t="s">
        <v>9</v>
      </c>
      <c r="H42" s="2">
        <v>34149</v>
      </c>
      <c r="I42" s="10">
        <f t="shared" si="0"/>
        <v>183</v>
      </c>
    </row>
    <row r="43" spans="1:9" x14ac:dyDescent="0.2">
      <c r="A43" s="6" t="s">
        <v>31</v>
      </c>
      <c r="B43" s="6" t="s">
        <v>30</v>
      </c>
      <c r="C43" s="2" t="s">
        <v>29</v>
      </c>
      <c r="D43" s="6" t="s">
        <v>28</v>
      </c>
      <c r="E43" s="6">
        <v>13</v>
      </c>
      <c r="F43" s="6">
        <v>64</v>
      </c>
      <c r="G43" s="8" t="s">
        <v>5</v>
      </c>
      <c r="H43" s="2">
        <v>33792</v>
      </c>
      <c r="I43" s="10">
        <f t="shared" si="0"/>
        <v>77</v>
      </c>
    </row>
    <row r="44" spans="1:9" x14ac:dyDescent="0.2">
      <c r="A44" s="6" t="s">
        <v>27</v>
      </c>
      <c r="B44" s="6" t="s">
        <v>26</v>
      </c>
      <c r="C44" s="2" t="s">
        <v>22</v>
      </c>
      <c r="D44" s="6" t="s">
        <v>25</v>
      </c>
      <c r="E44" s="6">
        <v>9</v>
      </c>
      <c r="F44" s="6">
        <v>78</v>
      </c>
      <c r="G44" s="8" t="s">
        <v>5</v>
      </c>
      <c r="H44" s="2">
        <v>32415</v>
      </c>
      <c r="I44" s="10">
        <f t="shared" si="0"/>
        <v>87</v>
      </c>
    </row>
    <row r="45" spans="1:9" x14ac:dyDescent="0.2">
      <c r="A45" s="6" t="s">
        <v>24</v>
      </c>
      <c r="B45" s="6" t="s">
        <v>23</v>
      </c>
      <c r="C45" s="2" t="s">
        <v>22</v>
      </c>
      <c r="D45" s="6" t="s">
        <v>21</v>
      </c>
      <c r="E45" s="6">
        <v>12</v>
      </c>
      <c r="F45" s="6">
        <v>100</v>
      </c>
      <c r="G45" s="8" t="s">
        <v>9</v>
      </c>
      <c r="H45" s="2">
        <v>32466</v>
      </c>
      <c r="I45" s="10">
        <f t="shared" si="0"/>
        <v>112</v>
      </c>
    </row>
    <row r="46" spans="1:9" x14ac:dyDescent="0.2">
      <c r="A46" s="6" t="s">
        <v>20</v>
      </c>
      <c r="B46" s="6" t="s">
        <v>19</v>
      </c>
      <c r="C46" s="2" t="s">
        <v>18</v>
      </c>
      <c r="D46" s="6" t="s">
        <v>17</v>
      </c>
      <c r="E46" s="6">
        <v>10</v>
      </c>
      <c r="F46" s="6">
        <v>165</v>
      </c>
      <c r="G46" s="8" t="s">
        <v>9</v>
      </c>
      <c r="H46" s="2">
        <v>32976</v>
      </c>
      <c r="I46" s="10">
        <f t="shared" si="0"/>
        <v>175</v>
      </c>
    </row>
    <row r="47" spans="1:9" x14ac:dyDescent="0.2">
      <c r="A47" s="6" t="s">
        <v>16</v>
      </c>
      <c r="B47" s="6" t="s">
        <v>15</v>
      </c>
      <c r="C47" s="2" t="s">
        <v>2</v>
      </c>
      <c r="D47" s="6" t="s">
        <v>14</v>
      </c>
      <c r="E47" s="6">
        <v>13</v>
      </c>
      <c r="F47" s="6">
        <v>75</v>
      </c>
      <c r="G47" s="8" t="s">
        <v>0</v>
      </c>
      <c r="H47" s="2">
        <v>39378.009108796294</v>
      </c>
      <c r="I47" s="10">
        <f t="shared" si="0"/>
        <v>88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8" t="s">
        <v>9</v>
      </c>
      <c r="H48" s="2">
        <v>32364</v>
      </c>
      <c r="I48" s="10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75</v>
      </c>
      <c r="G49" s="6" t="s">
        <v>0</v>
      </c>
      <c r="H49" s="2">
        <v>32874</v>
      </c>
      <c r="I49" s="10">
        <f t="shared" si="0"/>
        <v>86</v>
      </c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9"/>
  <sheetViews>
    <sheetView workbookViewId="0">
      <selection activeCell="K36" sqref="K3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75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35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authors","",TRUE,O8:W8,O9:W32)</f>
        <v>Env:MSSQL, (last result:)Retrieved 25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341</v>
      </c>
      <c r="P9" t="s">
        <v>208</v>
      </c>
      <c r="Q9" t="s">
        <v>342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b">
        <v>1</v>
      </c>
      <c r="P10">
        <v>1</v>
      </c>
      <c r="Q10" t="s">
        <v>343</v>
      </c>
      <c r="R10" t="s">
        <v>344</v>
      </c>
      <c r="S10" t="s">
        <v>345</v>
      </c>
      <c r="T10">
        <v>12345</v>
      </c>
      <c r="U10" t="s">
        <v>346</v>
      </c>
      <c r="V10" t="s">
        <v>347</v>
      </c>
      <c r="W10" t="s">
        <v>348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>
        <v>12345</v>
      </c>
      <c r="P11" t="b">
        <v>1</v>
      </c>
      <c r="Q11">
        <v>1</v>
      </c>
      <c r="R11" t="s">
        <v>343</v>
      </c>
      <c r="S11" t="s">
        <v>344</v>
      </c>
      <c r="T11" t="s">
        <v>345</v>
      </c>
      <c r="U11">
        <v>12345</v>
      </c>
      <c r="V11" t="s">
        <v>346</v>
      </c>
      <c r="W11" t="s">
        <v>347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348</v>
      </c>
      <c r="P12">
        <v>12345</v>
      </c>
      <c r="Q12" t="b">
        <v>1</v>
      </c>
      <c r="R12">
        <v>2</v>
      </c>
      <c r="S12" t="s">
        <v>214</v>
      </c>
      <c r="T12" t="s">
        <v>215</v>
      </c>
      <c r="U12" t="s">
        <v>216</v>
      </c>
      <c r="V12" t="s">
        <v>217</v>
      </c>
      <c r="W12" t="s">
        <v>326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75</v>
      </c>
      <c r="H13" s="12" t="s">
        <v>0</v>
      </c>
      <c r="I13" s="14">
        <v>33741</v>
      </c>
      <c r="K13" s="4" t="s">
        <v>325</v>
      </c>
      <c r="O13" t="s">
        <v>218</v>
      </c>
      <c r="P13" t="s">
        <v>213</v>
      </c>
      <c r="Q13">
        <v>94618</v>
      </c>
      <c r="R13" t="b">
        <v>1</v>
      </c>
      <c r="S13">
        <v>1</v>
      </c>
      <c r="T13" t="s">
        <v>219</v>
      </c>
      <c r="U13" t="s">
        <v>220</v>
      </c>
      <c r="V13" t="s">
        <v>221</v>
      </c>
      <c r="W13" t="s">
        <v>222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223</v>
      </c>
      <c r="P14" t="s">
        <v>224</v>
      </c>
      <c r="Q14" t="s">
        <v>213</v>
      </c>
      <c r="R14">
        <v>94705</v>
      </c>
      <c r="S14" t="b">
        <v>1</v>
      </c>
      <c r="T14">
        <v>1</v>
      </c>
      <c r="U14" t="s">
        <v>225</v>
      </c>
      <c r="V14" t="s">
        <v>226</v>
      </c>
      <c r="W14" t="s">
        <v>227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228</v>
      </c>
      <c r="P15" t="s">
        <v>229</v>
      </c>
      <c r="Q15" t="s">
        <v>230</v>
      </c>
      <c r="R15" t="s">
        <v>213</v>
      </c>
      <c r="S15">
        <v>95128</v>
      </c>
      <c r="T15" t="b">
        <v>1</v>
      </c>
      <c r="U15">
        <v>1</v>
      </c>
      <c r="V15" t="s">
        <v>231</v>
      </c>
      <c r="W15" t="s">
        <v>232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jobs","",jobsLU)</f>
        <v>Env:MSSQL, (last result:)Retrieved 14 records from: select job_desc, job_id from jobs</v>
      </c>
      <c r="O16" t="s">
        <v>233</v>
      </c>
      <c r="P16" t="s">
        <v>234</v>
      </c>
      <c r="Q16" t="s">
        <v>235</v>
      </c>
      <c r="R16" t="s">
        <v>218</v>
      </c>
      <c r="S16" t="s">
        <v>213</v>
      </c>
      <c r="T16">
        <v>94609</v>
      </c>
      <c r="U16" t="b">
        <v>1</v>
      </c>
      <c r="V16">
        <v>1</v>
      </c>
      <c r="W16" t="s">
        <v>236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349</v>
      </c>
      <c r="P17" t="s">
        <v>237</v>
      </c>
      <c r="Q17" t="s">
        <v>238</v>
      </c>
      <c r="R17" t="s">
        <v>239</v>
      </c>
      <c r="S17" t="s">
        <v>240</v>
      </c>
      <c r="T17" t="s">
        <v>241</v>
      </c>
      <c r="U17">
        <v>66044</v>
      </c>
      <c r="V17" t="b">
        <v>0</v>
      </c>
      <c r="W17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327</v>
      </c>
      <c r="M18" s="6">
        <v>2</v>
      </c>
      <c r="O18" t="s">
        <v>242</v>
      </c>
      <c r="P18" t="s">
        <v>243</v>
      </c>
      <c r="Q18" t="s">
        <v>244</v>
      </c>
      <c r="R18" t="s">
        <v>245</v>
      </c>
      <c r="S18" t="s">
        <v>246</v>
      </c>
      <c r="T18" t="s">
        <v>224</v>
      </c>
      <c r="U18" t="s">
        <v>213</v>
      </c>
      <c r="V18">
        <v>94705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>
        <v>1</v>
      </c>
      <c r="P19" t="s">
        <v>247</v>
      </c>
      <c r="Q19" t="s">
        <v>248</v>
      </c>
      <c r="R19" t="s">
        <v>131</v>
      </c>
      <c r="S19" t="s">
        <v>249</v>
      </c>
      <c r="T19" t="s">
        <v>250</v>
      </c>
      <c r="U19" t="s">
        <v>251</v>
      </c>
      <c r="V19" t="s">
        <v>213</v>
      </c>
      <c r="W19">
        <v>94301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b">
        <v>1</v>
      </c>
      <c r="P20">
        <v>1</v>
      </c>
      <c r="Q20" t="s">
        <v>252</v>
      </c>
      <c r="R20" t="s">
        <v>253</v>
      </c>
      <c r="S20" t="s">
        <v>254</v>
      </c>
      <c r="T20" t="s">
        <v>255</v>
      </c>
      <c r="U20" t="s">
        <v>256</v>
      </c>
      <c r="V20" t="s">
        <v>257</v>
      </c>
      <c r="W20" t="s">
        <v>213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>
        <v>95428</v>
      </c>
      <c r="P21" t="b">
        <v>1</v>
      </c>
      <c r="Q21">
        <v>1</v>
      </c>
      <c r="R21" t="s">
        <v>258</v>
      </c>
      <c r="S21" t="s">
        <v>259</v>
      </c>
      <c r="T21" t="s">
        <v>260</v>
      </c>
      <c r="U21" t="s">
        <v>261</v>
      </c>
      <c r="V21" t="s">
        <v>262</v>
      </c>
      <c r="W21" t="s">
        <v>263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213</v>
      </c>
      <c r="P22">
        <v>94130</v>
      </c>
      <c r="Q22" t="b">
        <v>1</v>
      </c>
      <c r="R22">
        <v>1</v>
      </c>
      <c r="S22" t="s">
        <v>264</v>
      </c>
      <c r="T22" t="s">
        <v>265</v>
      </c>
      <c r="U22" t="s">
        <v>266</v>
      </c>
      <c r="V22" t="s">
        <v>267</v>
      </c>
      <c r="W22" t="s">
        <v>268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269</v>
      </c>
      <c r="P23" t="s">
        <v>270</v>
      </c>
      <c r="Q23">
        <v>37215</v>
      </c>
      <c r="R23" t="b">
        <v>0</v>
      </c>
      <c r="S23">
        <v>1</v>
      </c>
      <c r="T23" t="s">
        <v>271</v>
      </c>
      <c r="U23" t="s">
        <v>272</v>
      </c>
      <c r="V23" t="s">
        <v>273</v>
      </c>
      <c r="W23" t="s">
        <v>274</v>
      </c>
    </row>
    <row r="24" spans="1:23" x14ac:dyDescent="0.2">
      <c r="A24" s="12" t="s">
        <v>95</v>
      </c>
      <c r="B24" s="12" t="s">
        <v>94</v>
      </c>
      <c r="C24" s="12" t="s">
        <v>340</v>
      </c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32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275</v>
      </c>
      <c r="P24" t="s">
        <v>276</v>
      </c>
      <c r="Q24" t="s">
        <v>277</v>
      </c>
      <c r="R24">
        <v>97330</v>
      </c>
      <c r="S24" t="b">
        <v>1</v>
      </c>
      <c r="T24">
        <v>1</v>
      </c>
      <c r="U24" t="s">
        <v>278</v>
      </c>
      <c r="V24" t="s">
        <v>279</v>
      </c>
      <c r="W24" t="s">
        <v>280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281</v>
      </c>
      <c r="P25" t="s">
        <v>282</v>
      </c>
      <c r="Q25" t="s">
        <v>283</v>
      </c>
      <c r="R25" t="s">
        <v>213</v>
      </c>
      <c r="S25">
        <v>94595</v>
      </c>
      <c r="T25" t="b">
        <v>1</v>
      </c>
      <c r="U25">
        <v>1</v>
      </c>
      <c r="V25" t="s">
        <v>284</v>
      </c>
      <c r="W25" t="s">
        <v>285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35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286</v>
      </c>
      <c r="P26" t="s">
        <v>287</v>
      </c>
      <c r="Q26" t="s">
        <v>288</v>
      </c>
      <c r="R26" t="s">
        <v>289</v>
      </c>
      <c r="S26" t="s">
        <v>290</v>
      </c>
      <c r="T26">
        <v>48105</v>
      </c>
      <c r="U26" t="b">
        <v>1</v>
      </c>
      <c r="V26">
        <v>1</v>
      </c>
      <c r="W26" t="s">
        <v>291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292</v>
      </c>
      <c r="P27" t="s">
        <v>293</v>
      </c>
      <c r="Q27" t="s">
        <v>294</v>
      </c>
      <c r="R27" t="s">
        <v>295</v>
      </c>
      <c r="S27" t="s">
        <v>12</v>
      </c>
      <c r="T27" t="s">
        <v>296</v>
      </c>
      <c r="U27">
        <v>46403</v>
      </c>
      <c r="V27" t="b">
        <v>1</v>
      </c>
      <c r="W27">
        <v>1</v>
      </c>
    </row>
    <row r="28" spans="1:23" x14ac:dyDescent="0.2">
      <c r="A28" s="12" t="s">
        <v>81</v>
      </c>
      <c r="B28" s="12" t="s">
        <v>80</v>
      </c>
      <c r="C28" s="12" t="s">
        <v>340</v>
      </c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297</v>
      </c>
      <c r="P28" t="s">
        <v>298</v>
      </c>
      <c r="Q28" t="s">
        <v>299</v>
      </c>
      <c r="R28" t="s">
        <v>300</v>
      </c>
      <c r="S28" t="s">
        <v>301</v>
      </c>
      <c r="T28" t="s">
        <v>218</v>
      </c>
      <c r="U28" t="s">
        <v>213</v>
      </c>
      <c r="V28">
        <v>94609</v>
      </c>
      <c r="W28" t="b">
        <v>0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>
        <v>1</v>
      </c>
      <c r="P29" t="s">
        <v>302</v>
      </c>
      <c r="Q29" t="s">
        <v>303</v>
      </c>
      <c r="R29" t="s">
        <v>304</v>
      </c>
      <c r="S29" t="s">
        <v>305</v>
      </c>
      <c r="T29" t="s">
        <v>306</v>
      </c>
      <c r="U29" t="s">
        <v>218</v>
      </c>
      <c r="V29" t="s">
        <v>213</v>
      </c>
      <c r="W29">
        <v>94612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b">
        <v>1</v>
      </c>
      <c r="P30">
        <v>1</v>
      </c>
      <c r="Q30" t="s">
        <v>307</v>
      </c>
      <c r="R30" t="s">
        <v>308</v>
      </c>
      <c r="S30" t="s">
        <v>309</v>
      </c>
      <c r="T30" t="s">
        <v>310</v>
      </c>
      <c r="U30" t="s">
        <v>311</v>
      </c>
      <c r="V30" t="s">
        <v>218</v>
      </c>
      <c r="W30" t="s">
        <v>213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>
        <v>94609</v>
      </c>
      <c r="P31" t="b">
        <v>1</v>
      </c>
      <c r="Q31">
        <v>1</v>
      </c>
      <c r="R31" t="s">
        <v>312</v>
      </c>
      <c r="S31" t="s">
        <v>313</v>
      </c>
      <c r="T31" t="s">
        <v>314</v>
      </c>
      <c r="U31" t="s">
        <v>315</v>
      </c>
      <c r="V31" t="s">
        <v>316</v>
      </c>
      <c r="W31" t="s">
        <v>317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  <c r="O32" t="s">
        <v>318</v>
      </c>
      <c r="P32">
        <v>20853</v>
      </c>
      <c r="Q32" t="b">
        <v>1</v>
      </c>
      <c r="R32">
        <v>1</v>
      </c>
      <c r="S32" t="s">
        <v>319</v>
      </c>
      <c r="T32" t="s">
        <v>320</v>
      </c>
      <c r="U32" t="s">
        <v>321</v>
      </c>
      <c r="V32" t="s">
        <v>249</v>
      </c>
      <c r="W32" t="s">
        <v>250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9" x14ac:dyDescent="0.2">
      <c r="A35" s="12" t="s">
        <v>57</v>
      </c>
      <c r="B35" s="12" t="s">
        <v>56</v>
      </c>
      <c r="C35" s="12" t="s">
        <v>340</v>
      </c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9" x14ac:dyDescent="0.2">
      <c r="A38" s="12" t="s">
        <v>46</v>
      </c>
      <c r="B38" s="12" t="s">
        <v>45</v>
      </c>
      <c r="C38" s="12" t="s">
        <v>340</v>
      </c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75</v>
      </c>
      <c r="H38" s="12" t="s">
        <v>0</v>
      </c>
      <c r="I38" s="14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9" x14ac:dyDescent="0.2">
      <c r="A40" s="12" t="s">
        <v>39</v>
      </c>
      <c r="B40" s="12" t="s">
        <v>38</v>
      </c>
      <c r="C40" s="12" t="s">
        <v>340</v>
      </c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9" x14ac:dyDescent="0.2">
      <c r="A41" s="12" t="s">
        <v>168</v>
      </c>
      <c r="B41" s="12" t="s">
        <v>169</v>
      </c>
      <c r="C41" s="12"/>
      <c r="D41" s="12" t="s">
        <v>167</v>
      </c>
      <c r="E41" s="13" t="s">
        <v>183</v>
      </c>
      <c r="F41" s="12">
        <f>VLOOKUP(TestTable[[#This Row],[job_desc]],jobsLU,2,FALSE)</f>
        <v>7</v>
      </c>
      <c r="G41" s="12">
        <v>170</v>
      </c>
      <c r="H41" s="12" t="s">
        <v>5</v>
      </c>
      <c r="I41" s="14">
        <v>40001</v>
      </c>
    </row>
    <row r="42" spans="1:9" x14ac:dyDescent="0.2">
      <c r="A42" s="12" t="s">
        <v>35</v>
      </c>
      <c r="B42" s="12" t="s">
        <v>34</v>
      </c>
      <c r="C42" s="12" t="s">
        <v>33</v>
      </c>
      <c r="D42" s="12" t="s">
        <v>32</v>
      </c>
      <c r="E42" s="13" t="s">
        <v>184</v>
      </c>
      <c r="F42" s="12">
        <f>VLOOKUP(TestTable[[#This Row],[job_desc]],jobsLU,2,FALSE)</f>
        <v>8</v>
      </c>
      <c r="G42" s="12">
        <v>175</v>
      </c>
      <c r="H42" s="12" t="s">
        <v>9</v>
      </c>
      <c r="I42" s="14">
        <v>34149</v>
      </c>
    </row>
    <row r="43" spans="1:9" x14ac:dyDescent="0.2">
      <c r="A43" s="12" t="s">
        <v>31</v>
      </c>
      <c r="B43" s="12" t="s">
        <v>30</v>
      </c>
      <c r="C43" s="12" t="s">
        <v>29</v>
      </c>
      <c r="D43" s="12" t="s">
        <v>28</v>
      </c>
      <c r="E43" s="13" t="s">
        <v>189</v>
      </c>
      <c r="F43" s="12">
        <f>VLOOKUP(TestTable[[#This Row],[job_desc]],jobsLU,2,FALSE)</f>
        <v>13</v>
      </c>
      <c r="G43" s="12">
        <v>64</v>
      </c>
      <c r="H43" s="12" t="s">
        <v>5</v>
      </c>
      <c r="I43" s="14">
        <v>33792</v>
      </c>
    </row>
    <row r="44" spans="1:9" x14ac:dyDescent="0.2">
      <c r="A44" s="12" t="s">
        <v>27</v>
      </c>
      <c r="B44" s="12" t="s">
        <v>26</v>
      </c>
      <c r="C44" s="12" t="s">
        <v>22</v>
      </c>
      <c r="D44" s="12" t="s">
        <v>25</v>
      </c>
      <c r="E44" s="13" t="s">
        <v>185</v>
      </c>
      <c r="F44" s="12">
        <f>VLOOKUP(TestTable[[#This Row],[job_desc]],jobsLU,2,FALSE)</f>
        <v>9</v>
      </c>
      <c r="G44" s="12">
        <v>78</v>
      </c>
      <c r="H44" s="12" t="s">
        <v>5</v>
      </c>
      <c r="I44" s="14">
        <v>32415</v>
      </c>
    </row>
    <row r="45" spans="1:9" x14ac:dyDescent="0.2">
      <c r="A45" s="12" t="s">
        <v>24</v>
      </c>
      <c r="B45" s="12" t="s">
        <v>23</v>
      </c>
      <c r="C45" s="12" t="s">
        <v>22</v>
      </c>
      <c r="D45" s="12" t="s">
        <v>21</v>
      </c>
      <c r="E45" s="13" t="s">
        <v>188</v>
      </c>
      <c r="F45" s="12">
        <f>VLOOKUP(TestTable[[#This Row],[job_desc]],jobsLU,2,FALSE)</f>
        <v>12</v>
      </c>
      <c r="G45" s="12">
        <v>100</v>
      </c>
      <c r="H45" s="12" t="s">
        <v>9</v>
      </c>
      <c r="I45" s="14">
        <v>32466</v>
      </c>
    </row>
    <row r="46" spans="1:9" x14ac:dyDescent="0.2">
      <c r="A46" s="12" t="s">
        <v>20</v>
      </c>
      <c r="B46" s="12" t="s">
        <v>19</v>
      </c>
      <c r="C46" s="12" t="s">
        <v>18</v>
      </c>
      <c r="D46" s="12" t="s">
        <v>17</v>
      </c>
      <c r="E46" s="13" t="s">
        <v>186</v>
      </c>
      <c r="F46" s="12">
        <f>VLOOKUP(TestTable[[#This Row],[job_desc]],jobsLU,2,FALSE)</f>
        <v>10</v>
      </c>
      <c r="G46" s="12">
        <v>165</v>
      </c>
      <c r="H46" s="12" t="s">
        <v>9</v>
      </c>
      <c r="I46" s="14">
        <v>32976</v>
      </c>
    </row>
    <row r="47" spans="1:9" x14ac:dyDescent="0.2">
      <c r="A47" s="12" t="s">
        <v>16</v>
      </c>
      <c r="B47" s="12" t="s">
        <v>15</v>
      </c>
      <c r="C47" s="12" t="s">
        <v>2</v>
      </c>
      <c r="D47" s="12" t="s">
        <v>14</v>
      </c>
      <c r="E47" s="13" t="s">
        <v>189</v>
      </c>
      <c r="F47" s="12"/>
      <c r="G47" s="12">
        <v>75</v>
      </c>
      <c r="H47" s="12" t="s">
        <v>0</v>
      </c>
      <c r="I47" s="14">
        <v>39378.009108796294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6"/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6">
        <v>7</v>
      </c>
      <c r="G49" s="12">
        <v>75</v>
      </c>
      <c r="H49" s="12" t="s">
        <v>0</v>
      </c>
      <c r="I49" s="14">
        <v>32874</v>
      </c>
    </row>
  </sheetData>
  <dataConsolidate/>
  <dataValidations count="1">
    <dataValidation type="list" allowBlank="1" showInputMessage="1" showErrorMessage="1" sqref="E3:E49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9"/>
  <sheetViews>
    <sheetView workbookViewId="0">
      <selection activeCell="E10" sqref="E10"/>
    </sheetView>
  </sheetViews>
  <sheetFormatPr baseColWidth="10" defaultRowHeight="12.75" x14ac:dyDescent="0.2"/>
  <sheetData>
    <row r="1" spans="1:5" x14ac:dyDescent="0.2">
      <c r="A1" t="s">
        <v>329</v>
      </c>
      <c r="B1" t="s">
        <v>330</v>
      </c>
    </row>
    <row r="2" spans="1:5" x14ac:dyDescent="0.2">
      <c r="B2" t="s">
        <v>331</v>
      </c>
    </row>
    <row r="3" spans="1:5" x14ac:dyDescent="0.2">
      <c r="B3" t="s">
        <v>332</v>
      </c>
    </row>
    <row r="4" spans="1:5" x14ac:dyDescent="0.2">
      <c r="E4" t="s">
        <v>333</v>
      </c>
    </row>
    <row r="5" spans="1:5" x14ac:dyDescent="0.2">
      <c r="E5" t="s">
        <v>334</v>
      </c>
    </row>
    <row r="6" spans="1:5" x14ac:dyDescent="0.2">
      <c r="E6" t="s">
        <v>335</v>
      </c>
    </row>
    <row r="8" spans="1:5" x14ac:dyDescent="0.2">
      <c r="E8" t="s">
        <v>336</v>
      </c>
    </row>
    <row r="9" spans="1:5" x14ac:dyDescent="0.2">
      <c r="E9" t="s">
        <v>338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324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337</v>
      </c>
      <c r="G2" s="15" t="b">
        <v>0</v>
      </c>
    </row>
    <row r="3" spans="1:7" x14ac:dyDescent="0.2">
      <c r="A3" t="s">
        <v>322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323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>Really execute DB Mapper DBMapper?</confirmText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</root>
</file>

<file path=customXml/itemProps1.xml><?xml version="1.0" encoding="utf-8"?>
<ds:datastoreItem xmlns:ds="http://schemas.openxmlformats.org/officeDocument/2006/customXml" ds:itemID="{AE2725BA-FF05-4842-B616-F27F8836AF9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10</vt:i4>
      </vt:variant>
    </vt:vector>
  </HeadingPairs>
  <TitlesOfParts>
    <vt:vector size="16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2021-03-30T09:32:45Z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