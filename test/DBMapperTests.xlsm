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9F3B423F-3448-428A-B56C-D5C1345DB3AC}" xr6:coauthVersionLast="45" xr6:coauthVersionMax="45" xr10:uidLastSave="{00000000-0000-0000-0000-000000000000}"/>
  <bookViews>
    <workbookView xWindow="-120" yWindow="-120" windowWidth="20730" windowHeight="11310" firstSheet="1" activeTab="4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<sst xmlns="http://schemas.openxmlformats.org/spreadsheetml/2006/main" count="769" uniqueCount="209">
  <si>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</si>
  <si>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</si>
  <si>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</si>
  <si>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</si>
  <si>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</si>
  <si>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</si>
  <si>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</si>
  <si>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</si>
  <si>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</si>
  <si>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</si>
  <si>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</si>
  <si>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</si>
  <si>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</si>
  <si>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</si>
  <si>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</si>
  <si>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</si>
  <si>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</si>
  <si>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</si>
  <si>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</si>
  <si>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</si>
  <si>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</si>
  <si>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</si>
  <si>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</si>
  <si>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</si>
  <si>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</si>
  <si>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</si>
  <si>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</si>
  <si>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</si>
  <si>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</si>
  <si>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</si>
  <si>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</si>
  <si>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</si>
  <si>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</si>
  <si>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</si>
  <si>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</si>
  <si>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</si>
  <si>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</si>
  <si>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</si>
  <si>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</si>
  <si>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</si>
  <si>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</si>
  <si>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</si>
  <si>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</si>
  <si>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</si>
  <si>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</si>
  <si>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</si>
  <si>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</si>
  <si>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</si>
  <si>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</si>
  <si>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</si>
  <si>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</si>
  <si>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</si>
  <si>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</si>
  <si>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</si>
  <si>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</si>
  <si>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</si>
  <si>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</si>
  <si>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</si>
  <si>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</si>
  <si>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</si>
  <si>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</si>
  <si>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</si>
  <si>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</si>
  <si>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</si>
  <si>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</si>
  <si>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</si>
  <si>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</si>
  <si>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</si>
  <si>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</si>
  <si>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</si>
  <si>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</si>
  <si>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</si>
  <si>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</si>
  <si>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</si>
  <si>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</si>
  <si>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</si>
  <si>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</si>
  <si>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</si>
  <si>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</si>
  <si>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</si>
  <si>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</si>
  <si>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</si>
  <si>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</si>
  <si>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</si>
  <si>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</si>
  <si>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</si>
  <si>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</si>
  <si>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</si>
  <si>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</si>
  <si>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</si>
  <si>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</si>
  <si>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</si>
  <si>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</si>
  <si>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</si>
  <si>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</si>
  <si>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</si>
  <si>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</si>
  <si>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</si>
  <si>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</si>
  <si>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</si>
  <si>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</si>
  <si>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</si>
  <si>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</si>
  <si>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</si>
  <si>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</si>
  <si>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</si>
  <si>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</si>
  <si>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</si>
  <si>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</si>
  <si>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</si>
  <si>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</si>
  <si>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</si>
  <si>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</si>
  <si>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</si>
  <si>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</si>
  <si>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</si>
  <si>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</si>
  <si>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</si>
  <si>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</si>
  <si>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</si>
  <si>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</si>
  <si>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</si>
  <si>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</si>
  <si>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</si>
  <si>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</si>
  <si>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</si>
  <si>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</si>
  <si>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</si>
  <si>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</si>
  <si>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</si>
  <si>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</si>
  <si>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</si>
  <si>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</si>
  <si>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</si>
  <si>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</si>
  <si>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</si>
  <si>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</si>
  <si>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</si>
  <si>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</si>
  <si>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</si>
  <si>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</si>
  <si>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</si>
  <si>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</si>
  <si>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</si>
  <si>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</si>
  <si>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</si>
  <si>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</si>
  <si>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</si>
  <si>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</si>
  <si>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</si>
  <si>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</si>
  <si>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</si>
  <si>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</si>
  <si>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</si>
  <si>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</si>
  <si>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</si>
  <si>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</si>
  <si>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</si>
  <si>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</si>
  <si>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</si>
  <si>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</si>
  <si>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</si>
  <si>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</si>
  <si>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</si>
  <si>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</si>
  <si>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</si>
  <si>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</si>
  <si>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</si>
  <si>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</si>
  <si>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</si>
  <si>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</si>
  <si>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</si>
  <si>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</si>
  <si>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</si>
  <si>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</si>
  <si>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</si>
  <si>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</si>
  <si>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</si>
  <si>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</si>
  <si>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</si>
  <si>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</si>
  <si>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</si>
  <si>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</si>
  <si>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</si>
  <si>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</si>
  <si>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</si>
  <si>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</si>
  <si>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</si>
  <si>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</si>
  <si>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</si>
  <si>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</si>
  <si>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</si>
  <si>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</si>
  <si>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</si>
  <si>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</si>
  <si>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</si>
  <si>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</si>
  <si>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</si>
  <si>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</si>
  <si>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</si>
  <si>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</si>
  <si>
    <t>r</t>
  </si>
  <si>
    <t>asd</t>
  </si>
  <si>
    <t>dfgdfg</t>
  </si>
  <si>
    <t>TPO55093F</t>
  </si>
  <si>
    <t>rgf</t>
  </si>
  <si>
    <t>d</t>
  </si>
  <si>
    <t>werwer</t>
  </si>
  <si>
    <t>DBSeqnceTest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</si>
</sst>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193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174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194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192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10" t="s">
        <v>175</v>
      </c>
      <c r="H3" s="2">
        <v>39017.034039351849</v>
      </c>
      <c r="I3" s="13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5</v>
      </c>
      <c r="F4" s="6">
        <v>150</v>
      </c>
      <c r="G4" s="10" t="s">
        <v>0</v>
      </c>
      <c r="H4" s="2">
        <v>33843</v>
      </c>
      <c r="I4" s="13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90</v>
      </c>
      <c r="G5" s="10" t="s">
        <v>5</v>
      </c>
      <c r="H5" s="2">
        <v>33231</v>
      </c>
      <c r="I5" s="13">
        <f t="shared" si="0"/>
        <v>104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10" t="s">
        <v>0</v>
      </c>
      <c r="H6" s="2">
        <v>33231</v>
      </c>
      <c r="I6" s="13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195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176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176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176</v>
      </c>
      <c r="H12" s="2">
        <v>33435</v>
      </c>
      <c r="I12" s="13">
        <f t="shared" si="0"/>
        <v>203</v>
      </c>
    </row>
    <row r="13" spans="1:11" x14ac:dyDescent="0.2">
      <c r="A13" s="6" t="s">
        <v>16</v>
      </c>
      <c r="B13" s="6" t="s">
        <v>202</v>
      </c>
      <c r="C13" s="2" t="s">
        <v>201</v>
      </c>
      <c r="D13" s="6" t="s">
        <v>203</v>
      </c>
      <c r="E13" s="6">
        <v>11</v>
      </c>
      <c r="F13" s="6">
        <v>75</v>
      </c>
      <c r="G13" s="10" t="s">
        <v>0</v>
      </c>
      <c r="H13" s="2">
        <v>32874</v>
      </c>
      <c r="I13" s="13">
        <f t="shared" si="0"/>
        <v>86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75</v>
      </c>
      <c r="G14" s="10" t="s">
        <v>5</v>
      </c>
      <c r="H14" s="2">
        <v>33741</v>
      </c>
      <c r="I14" s="13">
        <f t="shared" si="0"/>
        <v>85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177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177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177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175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75</v>
      </c>
      <c r="G25" s="10" t="s">
        <v>5</v>
      </c>
      <c r="H25" s="2">
        <v>32670</v>
      </c>
      <c r="I25" s="13">
        <f t="shared" si="0"/>
        <v>87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75</v>
      </c>
      <c r="G27" s="10" t="s">
        <v>0</v>
      </c>
      <c r="H27" s="2">
        <v>33078</v>
      </c>
      <c r="I27" s="13">
        <f t="shared" si="0"/>
        <v>89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177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178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177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177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179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75</v>
      </c>
      <c r="G39" s="10" t="s">
        <v>0</v>
      </c>
      <c r="H39" s="2">
        <v>33639</v>
      </c>
      <c r="I39" s="13">
        <f t="shared" si="0"/>
        <v>84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177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75</v>
      </c>
      <c r="G44" s="10" t="s">
        <v>5</v>
      </c>
      <c r="H44" s="2">
        <v>33792</v>
      </c>
      <c r="I44" s="13">
        <f t="shared" si="0"/>
        <v>88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10" t="s">
        <v>9</v>
      </c>
      <c r="H48" s="2">
        <v>32364</v>
      </c>
      <c r="I48" s="13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75</v>
      </c>
      <c r="G49" s="6" t="s">
        <v>0</v>
      </c>
      <c r="H49" s="2">
        <v>32874</v>
      </c>
      <c r="I49" s="13">
        <f t="shared" si="0"/>
        <v>86</v>
      </c>
    </row>
    <row r="50" spans="1:9" x14ac:dyDescent="0.2">
      <c r="A50" s="6" t="s">
        <v>204</v>
      </c>
      <c r="B50" s="6" t="s">
        <v>205</v>
      </c>
      <c r="C50" s="2" t="s">
        <v>206</v>
      </c>
      <c r="D50" s="6" t="s">
        <v>207</v>
      </c>
      <c r="E50" s="6">
        <v>1</v>
      </c>
      <c r="F50" s="6"/>
      <c r="G50" s="6" t="s">
        <v>9</v>
      </c>
      <c r="H50" s="2">
        <v>32313</v>
      </c>
      <c r="I50" s="13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50"/>
  <sheetViews>
    <sheetView workbookViewId="0">
      <selection activeCell="H7" sqref="H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12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True): select emp_id,fname,minit,lname,j.job_desc,job_lvl,pub_id,hire_date from pubs..employee e inner join pubs..jobs j on j.job_id = e.job_id</v>
      </c>
    </row>
    <row r="2" spans="1:12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180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12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191</v>
      </c>
      <c r="F3" s="8">
        <f>VLOOKUP(TestTable[[#This Row],[job_desc]],jobsLU,2,FALSE)</f>
        <v>14</v>
      </c>
      <c r="G3" s="8">
        <v>80</v>
      </c>
      <c r="H3" s="8" t="s">
        <v>175</v>
      </c>
      <c r="I3" s="11">
        <v>39017.034039351849</v>
      </c>
    </row>
    <row r="4" spans="1:12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47</v>
      </c>
      <c r="F4" s="8">
        <f>VLOOKUP(TestTable[[#This Row],[job_desc]],jobsLU,2,FALSE)</f>
        <v>5</v>
      </c>
      <c r="G4" s="8">
        <v>150</v>
      </c>
      <c r="H4" s="8" t="s">
        <v>0</v>
      </c>
      <c r="I4" s="11">
        <v>33843</v>
      </c>
    </row>
    <row r="5" spans="1:12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191</v>
      </c>
      <c r="F5" s="8">
        <f>VLOOKUP(TestTable[[#This Row],[job_desc]],jobsLU,2,FALSE)</f>
        <v>14</v>
      </c>
      <c r="G5" s="8">
        <v>90</v>
      </c>
      <c r="H5" s="8" t="s">
        <v>5</v>
      </c>
      <c r="I5" s="11">
        <v>33231</v>
      </c>
    </row>
    <row r="6" spans="1:12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183</v>
      </c>
      <c r="F6" s="8">
        <f>VLOOKUP(TestTable[[#This Row],[job_desc]],jobsLU,2,FALSE)</f>
        <v>6</v>
      </c>
      <c r="G6" s="8">
        <v>140</v>
      </c>
      <c r="H6" s="8" t="s">
        <v>0</v>
      </c>
      <c r="I6" s="11">
        <v>33231</v>
      </c>
    </row>
    <row r="7" spans="1:12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12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184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</row>
    <row r="9" spans="1:12" x14ac:dyDescent="0.2">
      <c r="A9" s="8" t="s">
        <v>142</v>
      </c>
      <c r="B9" s="8" t="s">
        <v>141</v>
      </c>
      <c r="C9" s="8"/>
      <c r="D9" s="8" t="s">
        <v>140</v>
      </c>
      <c r="E9" s="9" t="s">
        <v>182</v>
      </c>
      <c r="F9" s="8">
        <f>VLOOKUP(TestTable[[#This Row],[job_desc]],jobsLU,2,FALSE)</f>
        <v>4</v>
      </c>
      <c r="G9" s="8">
        <v>227</v>
      </c>
      <c r="H9" s="8" t="s">
        <v>176</v>
      </c>
      <c r="I9" s="11">
        <v>33180</v>
      </c>
    </row>
    <row r="10" spans="1:12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183</v>
      </c>
      <c r="F10" s="8">
        <f>VLOOKUP(TestTable[[#This Row],[job_desc]],jobsLU,2,FALSE)</f>
        <v>6</v>
      </c>
      <c r="G10" s="8">
        <v>215</v>
      </c>
      <c r="H10" s="8" t="s">
        <v>176</v>
      </c>
      <c r="I10" s="11">
        <v>32823</v>
      </c>
    </row>
    <row r="11" spans="1:12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187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</row>
    <row r="12" spans="1:12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181</v>
      </c>
      <c r="F12" s="8">
        <f>VLOOKUP(TestTable[[#This Row],[job_desc]],jobsLU,2,FALSE)</f>
        <v>3</v>
      </c>
      <c r="G12" s="8">
        <v>200</v>
      </c>
      <c r="H12" s="8" t="s">
        <v>176</v>
      </c>
      <c r="I12" s="11">
        <v>33435</v>
      </c>
      <c r="K12" s="4" t="s">
        <v>196</v>
      </c>
    </row>
    <row r="13" spans="1:12" x14ac:dyDescent="0.2">
      <c r="A13" s="8" t="s">
        <v>16</v>
      </c>
      <c r="B13" s="8" t="s">
        <v>202</v>
      </c>
      <c r="C13" s="8" t="s">
        <v>201</v>
      </c>
      <c r="D13" s="8" t="s">
        <v>203</v>
      </c>
      <c r="E13" s="9" t="s">
        <v>188</v>
      </c>
      <c r="F13" s="8">
        <f>VLOOKUP(TestTable[[#This Row],[job_desc]],jobsLU,2,FALSE)</f>
        <v>11</v>
      </c>
      <c r="G13" s="8">
        <v>75</v>
      </c>
      <c r="H13" s="8" t="s">
        <v>0</v>
      </c>
      <c r="I13" s="11">
        <v>32874</v>
      </c>
      <c r="K13" s="4" t="s">
        <v>197</v>
      </c>
    </row>
    <row r="14" spans="1:12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187</v>
      </c>
      <c r="F14" s="8">
        <f>VLOOKUP(TestTable[[#This Row],[job_desc]],jobsLU,2,FALSE)</f>
        <v>10</v>
      </c>
      <c r="G14" s="8">
        <v>75</v>
      </c>
      <c r="H14" s="8" t="s">
        <v>5</v>
      </c>
      <c r="I14" s="11">
        <v>33741</v>
      </c>
    </row>
    <row r="15" spans="1:12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</row>
    <row r="16" spans="1:12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177</v>
      </c>
      <c r="I16" s="11">
        <v>32619</v>
      </c>
      <c r="L16" s="12" t="str">
        <f>_xll.DBListFetch("select job_desc, job_id from pubs..jobs","",jobsLU)</f>
        <v>Env:MSSQL, (last result:)Retrieved 14 records from: select job_desc, job_id from pubs..jobs</v>
      </c>
    </row>
    <row r="17" spans="1:1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184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199</v>
      </c>
      <c r="M17" s="6">
        <v>1</v>
      </c>
    </row>
    <row r="18" spans="1:13" x14ac:dyDescent="0.2">
      <c r="A18" s="8" t="s">
        <v>8</v>
      </c>
      <c r="B18" s="8" t="s">
        <v>7</v>
      </c>
      <c r="C18" s="8"/>
      <c r="D18" s="8" t="s">
        <v>6</v>
      </c>
      <c r="E18" s="9" t="s">
        <v>184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200</v>
      </c>
      <c r="M18" s="6">
        <v>2</v>
      </c>
    </row>
    <row r="19" spans="1:1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186</v>
      </c>
      <c r="F19" s="8">
        <f>VLOOKUP(TestTable[[#This Row],[job_desc]],jobsLU,2,FALSE)</f>
        <v>9</v>
      </c>
      <c r="G19" s="8">
        <v>170</v>
      </c>
      <c r="H19" s="8" t="s">
        <v>177</v>
      </c>
      <c r="I19" s="11">
        <v>34404</v>
      </c>
      <c r="L19" s="6" t="s">
        <v>181</v>
      </c>
      <c r="M19" s="6">
        <v>3</v>
      </c>
    </row>
    <row r="20" spans="1:1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191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182</v>
      </c>
      <c r="M20" s="6">
        <v>4</v>
      </c>
    </row>
    <row r="21" spans="1:1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183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</row>
    <row r="22" spans="1:1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187</v>
      </c>
      <c r="F22" s="8">
        <f>VLOOKUP(TestTable[[#This Row],[job_desc]],jobsLU,2,FALSE)</f>
        <v>10</v>
      </c>
      <c r="G22" s="8">
        <v>80</v>
      </c>
      <c r="H22" s="8" t="s">
        <v>177</v>
      </c>
      <c r="I22" s="11">
        <v>34302</v>
      </c>
      <c r="L22" s="6" t="s">
        <v>183</v>
      </c>
      <c r="M22" s="6">
        <v>6</v>
      </c>
    </row>
    <row r="23" spans="1:1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175</v>
      </c>
      <c r="I23" s="11">
        <v>33384</v>
      </c>
      <c r="L23" s="6" t="s">
        <v>184</v>
      </c>
      <c r="M23" s="6">
        <v>7</v>
      </c>
    </row>
    <row r="24" spans="1:1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184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185</v>
      </c>
      <c r="M24" s="6">
        <v>8</v>
      </c>
    </row>
    <row r="25" spans="1:13" x14ac:dyDescent="0.2">
      <c r="A25" s="8" t="s">
        <v>95</v>
      </c>
      <c r="B25" s="8" t="s">
        <v>94</v>
      </c>
      <c r="C25" s="8"/>
      <c r="D25" s="8" t="s">
        <v>93</v>
      </c>
      <c r="E25" s="9" t="s">
        <v>189</v>
      </c>
      <c r="F25" s="8">
        <f>VLOOKUP(TestTable[[#This Row],[job_desc]],jobsLU,2,FALSE)</f>
        <v>12</v>
      </c>
      <c r="G25" s="8">
        <v>75</v>
      </c>
      <c r="H25" s="8" t="s">
        <v>5</v>
      </c>
      <c r="I25" s="11">
        <v>32670</v>
      </c>
      <c r="L25" s="6" t="s">
        <v>186</v>
      </c>
      <c r="M25" s="6">
        <v>9</v>
      </c>
    </row>
    <row r="26" spans="1:1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187</v>
      </c>
      <c r="M26" s="6">
        <v>10</v>
      </c>
    </row>
    <row r="27" spans="1:1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191</v>
      </c>
      <c r="F27" s="8">
        <f>VLOOKUP(TestTable[[#This Row],[job_desc]],jobsLU,2,FALSE)</f>
        <v>14</v>
      </c>
      <c r="G27" s="8">
        <v>75</v>
      </c>
      <c r="H27" s="8" t="s">
        <v>0</v>
      </c>
      <c r="I27" s="11">
        <v>33078</v>
      </c>
      <c r="L27" s="6" t="s">
        <v>188</v>
      </c>
      <c r="M27" s="6">
        <v>11</v>
      </c>
    </row>
    <row r="28" spans="1:1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188</v>
      </c>
      <c r="F28" s="8">
        <f>VLOOKUP(TestTable[[#This Row],[job_desc]],jobsLU,2,FALSE)</f>
        <v>11</v>
      </c>
      <c r="G28" s="8">
        <v>150</v>
      </c>
      <c r="H28" s="8" t="s">
        <v>177</v>
      </c>
      <c r="I28" s="11">
        <v>32721</v>
      </c>
      <c r="L28" s="6" t="s">
        <v>189</v>
      </c>
      <c r="M28" s="6">
        <v>12</v>
      </c>
    </row>
    <row r="29" spans="1:13" x14ac:dyDescent="0.2">
      <c r="A29" s="8" t="s">
        <v>81</v>
      </c>
      <c r="B29" s="8" t="s">
        <v>80</v>
      </c>
      <c r="C29" s="8"/>
      <c r="D29" s="8" t="s">
        <v>79</v>
      </c>
      <c r="E29" s="9" t="s">
        <v>188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190</v>
      </c>
      <c r="M29" s="6">
        <v>13</v>
      </c>
    </row>
    <row r="30" spans="1:1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178</v>
      </c>
      <c r="I30" s="11">
        <v>34251</v>
      </c>
      <c r="L30" s="6" t="s">
        <v>191</v>
      </c>
      <c r="M30" s="6">
        <v>14</v>
      </c>
    </row>
    <row r="31" spans="1:1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184</v>
      </c>
      <c r="F31" s="8">
        <f>VLOOKUP(TestTable[[#This Row],[job_desc]],jobsLU,2,FALSE)</f>
        <v>7</v>
      </c>
      <c r="G31" s="8">
        <v>120</v>
      </c>
      <c r="H31" s="8" t="s">
        <v>177</v>
      </c>
      <c r="I31" s="11">
        <v>34047</v>
      </c>
      <c r="L31" s="6"/>
      <c r="M31" s="6"/>
    </row>
    <row r="32" spans="1:13" x14ac:dyDescent="0.2">
      <c r="A32" s="8" t="s">
        <v>72</v>
      </c>
      <c r="B32" s="8" t="s">
        <v>67</v>
      </c>
      <c r="C32" s="8" t="s">
        <v>70</v>
      </c>
      <c r="D32" s="8" t="s">
        <v>69</v>
      </c>
      <c r="E32" s="9" t="s">
        <v>190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188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185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185</v>
      </c>
      <c r="F36" s="8">
        <f>VLOOKUP(TestTable[[#This Row],[job_desc]],jobsLU,2,FALSE)</f>
        <v>8</v>
      </c>
      <c r="G36" s="8">
        <v>101</v>
      </c>
      <c r="H36" s="8" t="s">
        <v>177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179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185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186</v>
      </c>
      <c r="F39" s="8">
        <f>VLOOKUP(TestTable[[#This Row],[job_desc]],jobsLU,2,FALSE)</f>
        <v>9</v>
      </c>
      <c r="G39" s="8">
        <v>75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183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183</v>
      </c>
      <c r="F41" s="8">
        <f>VLOOKUP(TestTable[[#This Row],[job_desc]],jobsLU,2,FALSE)</f>
        <v>6</v>
      </c>
      <c r="G41" s="8">
        <v>152</v>
      </c>
      <c r="H41" s="8" t="s">
        <v>177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184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185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190</v>
      </c>
      <c r="F44" s="8">
        <f>VLOOKUP(TestTable[[#This Row],[job_desc]],jobsLU,2,FALSE)</f>
        <v>13</v>
      </c>
      <c r="G44" s="8">
        <v>75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186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189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187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13</v>
      </c>
      <c r="B48" s="8" t="s">
        <v>12</v>
      </c>
      <c r="C48" s="8" t="s">
        <v>11</v>
      </c>
      <c r="D48" s="8" t="s">
        <v>10</v>
      </c>
      <c r="E48" s="9" t="s">
        <v>186</v>
      </c>
      <c r="F48" s="8"/>
      <c r="G48" s="8">
        <v>170</v>
      </c>
      <c r="H48" s="8" t="s">
        <v>9</v>
      </c>
      <c r="I48" s="11">
        <v>32364</v>
      </c>
    </row>
    <row r="49" spans="1:9" x14ac:dyDescent="0.2">
      <c r="A49" s="8" t="s">
        <v>4</v>
      </c>
      <c r="B49" s="8" t="s">
        <v>3</v>
      </c>
      <c r="C49" s="8" t="s">
        <v>2</v>
      </c>
      <c r="D49" s="8" t="s">
        <v>1</v>
      </c>
      <c r="E49" s="9" t="s">
        <v>188</v>
      </c>
      <c r="F49" s="13"/>
      <c r="G49" s="8">
        <v>75</v>
      </c>
      <c r="H49" s="8" t="s">
        <v>0</v>
      </c>
      <c r="I49" s="11">
        <v>32874</v>
      </c>
    </row>
    <row r="50" spans="1:9" x14ac:dyDescent="0.2">
      <c r="A50" s="8" t="s">
        <v>204</v>
      </c>
      <c r="B50" s="8" t="s">
        <v>205</v>
      </c>
      <c r="C50" s="8" t="s">
        <v>206</v>
      </c>
      <c r="D50" s="8" t="s">
        <v>207</v>
      </c>
      <c r="E50" s="9" t="s">
        <v>199</v>
      </c>
      <c r="F50" s="13">
        <v>11</v>
      </c>
      <c r="G50" s="8"/>
      <c r="H50" s="8" t="s">
        <v>9</v>
      </c>
      <c r="I50" s="11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A12" sqref="A12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198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A5"/>
  <sheetViews>
    <sheetView tabSelected="1" workbookViewId="0">
      <selection activeCell="D7" sqref="D7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208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DBRefrsh:DBFsource438916983858681:DBListFetch(in Example3!$L$16)</seqStep>
    <seqStep>DBCommitRollback:Commits or Rolls back DB Transaction</seqStep>
    <seqStep>DBRefrsh:DBFsource43741663536713:DBSetQuery(in Example3!$A$1)</seqStep>
    <confirmText/>
  </DBSeqnceTest>
</root>
</file>

<file path=customXml/itemProps1.xml><?xml version="1.0" encoding="utf-8"?>
<ds:datastoreItem xmlns:ds="http://schemas.openxmlformats.org/officeDocument/2006/customXml" ds:itemID="{2CF05E2C-BFD9-46F7-AB09-F4D0E09A57D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2020-03-07T15:52:23Z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